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F569" lockStructure="1"/>
  <bookViews>
    <workbookView visibility="visible" minimized="0" showHorizontalScroll="1" showVerticalScroll="1" showSheetTabs="1" tabRatio="600" firstSheet="0" activeTab="0" autoFilterDateGrouping="1"/>
  </bookViews>
  <sheets>
    <sheet name="Loan Statement" sheetId="1" state="visible" r:id="rId1"/>
    <sheet name="Quarter Summary" sheetId="2" state="visible" r:id="rId2"/>
    <sheet name="How to Use" sheetId="3" state="visible" r:id="rId3"/>
    <sheet name="Engine" sheetId="4" state="veryHidden" r:id="rId4"/>
  </sheets>
  <definedNames>
    <definedName name="_xlnm.Print_Titles" localSheetId="0">'Loan Statement'!$13:$13</definedName>
    <definedName name="_xlnm.Print_Titles" localSheetId="1">'Quarter Summary'!$4:$4</definedName>
  </definedNames>
  <calcPr calcId="124519" fullCalcOnLoad="1"/>
</workbook>
</file>

<file path=xl/styles.xml><?xml version="1.0" encoding="utf-8"?>
<styleSheet xmlns="http://schemas.openxmlformats.org/spreadsheetml/2006/main">
  <numFmts count="7">
    <numFmt numFmtId="164" formatCode="#,##0.00;[Red]-#,##0.00"/>
    <numFmt numFmtId="165" formatCode="DD-MM-YYYY"/>
    <numFmt numFmtId="166" formatCode="#,##0.00;[Red]-#,##0.00;&quot;–&quot;"/>
    <numFmt numFmtId="167" formatCode="DD-MM-YYYY;;;"/>
    <numFmt numFmtId="168" formatCode="0.00&quot;%&quot;"/>
    <numFmt numFmtId="169" formatCode="0.00&quot;%&quot;;[Red]-0.00&quot;%&quot;;&quot;–&quot;"/>
    <numFmt numFmtId="170" formatCode="#,##0;;&quot;–&quot;"/>
  </numFmts>
  <fonts count="12">
    <font>
      <name val="Calibri"/>
      <family val="2"/>
      <color theme="1"/>
      <sz val="11"/>
      <scheme val="minor"/>
    </font>
    <font>
      <b val="1"/>
      <color rgb="00FFFFFF"/>
      <sz val="14"/>
    </font>
    <font>
      <b val="1"/>
      <color rgb="00FFFFFF"/>
      <sz val="10"/>
    </font>
    <font>
      <i val="1"/>
      <color rgb="007F6000"/>
      <sz val="9"/>
    </font>
    <font>
      <b val="1"/>
      <color rgb="001F3864"/>
      <sz val="9"/>
    </font>
    <font>
      <sz val="10"/>
    </font>
    <font>
      <b val="1"/>
      <sz val="10"/>
    </font>
    <font>
      <b val="1"/>
      <sz val="9"/>
    </font>
    <font>
      <i val="1"/>
      <color rgb="00595959"/>
      <sz val="8"/>
    </font>
    <font>
      <b val="1"/>
      <sz val="8"/>
    </font>
    <font>
      <sz val="9"/>
    </font>
    <font>
      <i val="1"/>
      <color rgb="007F6000"/>
      <sz val="10"/>
    </font>
  </fonts>
  <fills count="12">
    <fill>
      <patternFill/>
    </fill>
    <fill>
      <patternFill patternType="gray125"/>
    </fill>
    <fill>
      <patternFill patternType="solid">
        <fgColor rgb="001F3864"/>
      </patternFill>
    </fill>
    <fill>
      <patternFill patternType="solid">
        <fgColor rgb="002E75B6"/>
      </patternFill>
    </fill>
    <fill>
      <patternFill patternType="solid">
        <fgColor rgb="00FFF9E6"/>
      </patternFill>
    </fill>
    <fill>
      <patternFill patternType="solid">
        <fgColor rgb="00305496"/>
      </patternFill>
    </fill>
    <fill>
      <patternFill patternType="solid">
        <fgColor rgb="00FFF2CC"/>
      </patternFill>
    </fill>
    <fill>
      <patternFill patternType="solid">
        <fgColor rgb="00EAF1F8"/>
      </patternFill>
    </fill>
    <fill>
      <patternFill patternType="solid">
        <fgColor rgb="00D9E1F2"/>
      </patternFill>
    </fill>
    <fill>
      <patternFill patternType="solid">
        <fgColor rgb="001F4E78"/>
      </patternFill>
    </fill>
    <fill>
      <patternFill patternType="solid">
        <fgColor rgb="00E2EFDA"/>
      </patternFill>
    </fill>
    <fill>
      <patternFill patternType="solid">
        <fgColor rgb="00FCE4D6"/>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BF8F00"/>
      </left>
      <right style="medium">
        <color rgb="00BF8F00"/>
      </right>
      <top style="medium">
        <color rgb="00BF8F00"/>
      </top>
      <bottom style="medium">
        <color rgb="00BF8F00"/>
      </bottom>
    </border>
  </borders>
  <cellStyleXfs count="1">
    <xf numFmtId="0" fontId="0" fillId="0" borderId="0"/>
  </cellStyleXfs>
  <cellXfs count="7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2" fillId="5" borderId="1" applyAlignment="1" pivotButton="0" quotePrefix="0" xfId="0">
      <alignment horizontal="center" vertical="center"/>
    </xf>
    <xf numFmtId="0" fontId="4" fillId="0" borderId="1" applyAlignment="1" pivotButton="0" quotePrefix="0" xfId="0">
      <alignment horizontal="left" vertical="center"/>
    </xf>
    <xf numFmtId="0" fontId="5" fillId="6" borderId="2" applyAlignment="1" applyProtection="1" pivotButton="0" quotePrefix="0" xfId="0">
      <alignment horizontal="left" vertical="center"/>
      <protection locked="0" hidden="0"/>
    </xf>
    <xf numFmtId="0" fontId="5" fillId="6" borderId="2" applyProtection="1" pivotButton="0" quotePrefix="0" xfId="0">
      <protection locked="0" hidden="0"/>
    </xf>
    <xf numFmtId="165" fontId="5" fillId="6" borderId="2" applyAlignment="1" applyProtection="1" pivotButton="0" quotePrefix="0" xfId="0">
      <alignment horizontal="center" vertical="center"/>
      <protection locked="0" hidden="0"/>
    </xf>
    <xf numFmtId="0" fontId="7" fillId="8" borderId="1" applyAlignment="1" pivotButton="0" quotePrefix="0" xfId="0">
      <alignment horizontal="center" vertical="center" wrapText="1"/>
    </xf>
    <xf numFmtId="164" fontId="5" fillId="6" borderId="2" applyAlignment="1" applyProtection="1" pivotButton="0" quotePrefix="0" xfId="0">
      <alignment horizontal="center" vertical="center"/>
      <protection locked="0" hidden="0"/>
    </xf>
    <xf numFmtId="167" fontId="5" fillId="7" borderId="1" applyAlignment="1" pivotButton="0" quotePrefix="0" xfId="0">
      <alignment horizontal="center" vertical="center"/>
    </xf>
    <xf numFmtId="168" fontId="5" fillId="6" borderId="2" applyAlignment="1" applyProtection="1" pivotButton="0" quotePrefix="0" xfId="0">
      <alignment horizontal="center" vertical="center"/>
      <protection locked="0" hidden="0"/>
    </xf>
    <xf numFmtId="0" fontId="5" fillId="7" borderId="1" applyAlignment="1" pivotButton="0" quotePrefix="0" xfId="0">
      <alignment horizontal="center" vertical="center"/>
    </xf>
    <xf numFmtId="0" fontId="7" fillId="7" borderId="1" applyAlignment="1" pivotButton="0" quotePrefix="0" xfId="0">
      <alignment horizontal="center" vertical="center"/>
    </xf>
    <xf numFmtId="1" fontId="5" fillId="6" borderId="2" applyAlignment="1" applyProtection="1" pivotButton="0" quotePrefix="0" xfId="0">
      <alignment horizontal="center" vertical="center"/>
      <protection locked="0" hidden="0"/>
    </xf>
    <xf numFmtId="0" fontId="5" fillId="6" borderId="2" applyAlignment="1" applyProtection="1" pivotButton="0" quotePrefix="0" xfId="0">
      <alignment horizontal="center" vertical="center"/>
      <protection locked="0" hidden="0"/>
    </xf>
    <xf numFmtId="164" fontId="5" fillId="6" borderId="2" applyAlignment="1" applyProtection="1" pivotButton="0" quotePrefix="0" xfId="0">
      <alignment horizontal="right" vertical="center"/>
      <protection locked="0" hidden="0"/>
    </xf>
    <xf numFmtId="0" fontId="8" fillId="4" borderId="1" applyAlignment="1" pivotButton="0" quotePrefix="0" xfId="0">
      <alignment horizontal="left" vertical="top" wrapText="1"/>
    </xf>
    <xf numFmtId="0" fontId="5" fillId="7" borderId="1" applyAlignment="1" pivotButton="0" quotePrefix="0" xfId="0">
      <alignment horizontal="left" vertical="center"/>
    </xf>
    <xf numFmtId="0" fontId="5" fillId="7" borderId="1" pivotButton="0" quotePrefix="0" xfId="0"/>
    <xf numFmtId="0" fontId="4" fillId="7" borderId="1" applyAlignment="1" pivotButton="0" quotePrefix="0" xfId="0">
      <alignment horizontal="left" vertical="center"/>
    </xf>
    <xf numFmtId="166" fontId="6" fillId="7" borderId="1" applyAlignment="1" pivotButton="0" quotePrefix="0" xfId="0">
      <alignment horizontal="center" vertical="center"/>
    </xf>
    <xf numFmtId="0" fontId="2" fillId="9" borderId="1" applyAlignment="1" pivotButton="0" quotePrefix="0" xfId="0">
      <alignment horizontal="center" vertical="center" wrapText="1"/>
    </xf>
    <xf numFmtId="0" fontId="2" fillId="3" borderId="1" applyAlignment="1" pivotButton="0" quotePrefix="0" xfId="0">
      <alignment horizontal="left" vertical="center"/>
    </xf>
    <xf numFmtId="165" fontId="5" fillId="0" borderId="0" pivotButton="0" quotePrefix="0" xfId="0"/>
    <xf numFmtId="0" fontId="5" fillId="0" borderId="0" pivotButton="0" quotePrefix="0" xfId="0"/>
    <xf numFmtId="0" fontId="6" fillId="10" borderId="1" applyAlignment="1" pivotButton="0" quotePrefix="0" xfId="0">
      <alignment horizontal="center" vertical="center"/>
    </xf>
    <xf numFmtId="167" fontId="6" fillId="10" borderId="1" applyAlignment="1" pivotButton="0" quotePrefix="0" xfId="0">
      <alignment horizontal="center" vertical="center"/>
    </xf>
    <xf numFmtId="0" fontId="5" fillId="10" borderId="1" pivotButton="0" quotePrefix="0" xfId="0"/>
    <xf numFmtId="0" fontId="6" fillId="10" borderId="1" applyAlignment="1" pivotButton="0" quotePrefix="0" xfId="0">
      <alignment horizontal="left" vertical="center"/>
    </xf>
    <xf numFmtId="166" fontId="5" fillId="10" borderId="1" pivotButton="0" quotePrefix="0" xfId="0"/>
    <xf numFmtId="166" fontId="6" fillId="10" borderId="1" applyAlignment="1" pivotButton="0" quotePrefix="0" xfId="0">
      <alignment horizontal="right" vertical="center"/>
    </xf>
    <xf numFmtId="169" fontId="5" fillId="10" borderId="1" pivotButton="0" quotePrefix="0" xfId="0"/>
    <xf numFmtId="170" fontId="5" fillId="10" borderId="1" applyAlignment="1" pivotButton="0" quotePrefix="0" xfId="0">
      <alignment horizontal="center" vertical="center"/>
    </xf>
    <xf numFmtId="166" fontId="5" fillId="10" borderId="1" applyAlignment="1" pivotButton="0" quotePrefix="0" xfId="0">
      <alignment horizontal="right" vertical="center"/>
    </xf>
    <xf numFmtId="166" fontId="5" fillId="6" borderId="2" applyAlignment="1" applyProtection="1" pivotButton="0" quotePrefix="0" xfId="0">
      <alignment horizontal="right" vertical="center"/>
      <protection locked="0" hidden="0"/>
    </xf>
    <xf numFmtId="0" fontId="9" fillId="10" borderId="1" applyAlignment="1" pivotButton="0" quotePrefix="0" xfId="0">
      <alignment horizontal="center" vertical="center"/>
    </xf>
    <xf numFmtId="166" fontId="5" fillId="0" borderId="0" pivotButton="0" quotePrefix="0" xfId="0"/>
    <xf numFmtId="0" fontId="10" fillId="0" borderId="1" applyAlignment="1" pivotButton="0" quotePrefix="0" xfId="0">
      <alignment horizontal="center" vertical="center"/>
    </xf>
    <xf numFmtId="166" fontId="5" fillId="0" borderId="1" pivotButton="0" quotePrefix="0" xfId="0"/>
    <xf numFmtId="166" fontId="5" fillId="7" borderId="1" applyAlignment="1" pivotButton="0" quotePrefix="0" xfId="0">
      <alignment horizontal="right" vertical="center"/>
    </xf>
    <xf numFmtId="169" fontId="5" fillId="7" borderId="1" applyAlignment="1" pivotButton="0" quotePrefix="0" xfId="0">
      <alignment horizontal="center" vertical="center"/>
    </xf>
    <xf numFmtId="170" fontId="5" fillId="7" borderId="1" applyAlignment="1" pivotButton="0" quotePrefix="0" xfId="0">
      <alignment horizontal="center" vertical="center"/>
    </xf>
    <xf numFmtId="0" fontId="9" fillId="7" borderId="1" applyAlignment="1" pivotButton="0" quotePrefix="0" xfId="0">
      <alignment horizontal="center" vertical="center"/>
    </xf>
    <xf numFmtId="0" fontId="6" fillId="11" borderId="1" applyAlignment="1" pivotButton="0" quotePrefix="0" xfId="0">
      <alignment horizontal="center" vertical="center"/>
    </xf>
    <xf numFmtId="167" fontId="6" fillId="11" borderId="1" applyAlignment="1" pivotButton="0" quotePrefix="0" xfId="0">
      <alignment horizontal="center" vertical="center"/>
    </xf>
    <xf numFmtId="0" fontId="5" fillId="11" borderId="1" pivotButton="0" quotePrefix="0" xfId="0"/>
    <xf numFmtId="0" fontId="6" fillId="11" borderId="1" applyAlignment="1" pivotButton="0" quotePrefix="0" xfId="0">
      <alignment horizontal="left" vertical="center"/>
    </xf>
    <xf numFmtId="166" fontId="6" fillId="11" borderId="1" applyAlignment="1" pivotButton="0" quotePrefix="0" xfId="0">
      <alignment horizontal="right" vertical="center"/>
    </xf>
    <xf numFmtId="166" fontId="5" fillId="11" borderId="1" pivotButton="0" quotePrefix="0" xfId="0"/>
    <xf numFmtId="169" fontId="5" fillId="11" borderId="1" applyAlignment="1" pivotButton="0" quotePrefix="0" xfId="0">
      <alignment horizontal="center" vertical="center"/>
    </xf>
    <xf numFmtId="170" fontId="5" fillId="11" borderId="1" applyAlignment="1" pivotButton="0" quotePrefix="0" xfId="0">
      <alignment horizontal="center" vertical="center"/>
    </xf>
    <xf numFmtId="166" fontId="5" fillId="11" borderId="1" applyAlignment="1" pivotButton="0" quotePrefix="0" xfId="0">
      <alignment horizontal="right" vertical="center"/>
    </xf>
    <xf numFmtId="0" fontId="9" fillId="11" borderId="1" applyAlignment="1" pivotButton="0" quotePrefix="0" xfId="0">
      <alignment horizontal="center" vertical="center"/>
    </xf>
    <xf numFmtId="0" fontId="6" fillId="0" borderId="1" applyAlignment="1" pivotButton="0" quotePrefix="0" xfId="0">
      <alignment horizontal="center" vertical="center"/>
    </xf>
    <xf numFmtId="167" fontId="5" fillId="0" borderId="1" applyAlignment="1" pivotButton="0" quotePrefix="0" xfId="0">
      <alignment horizontal="center" vertical="center"/>
    </xf>
    <xf numFmtId="166" fontId="5" fillId="0" borderId="1" applyAlignment="1" pivotButton="0" quotePrefix="0" xfId="0">
      <alignment horizontal="right" vertical="center"/>
    </xf>
    <xf numFmtId="166" fontId="6" fillId="0" borderId="1" applyAlignment="1" pivotButton="0" quotePrefix="0" xfId="0">
      <alignment horizontal="right" vertical="center"/>
    </xf>
    <xf numFmtId="0" fontId="10" fillId="0" borderId="1" applyAlignment="1" pivotButton="0" quotePrefix="0" xfId="0">
      <alignment horizontal="left" vertical="center"/>
    </xf>
    <xf numFmtId="0" fontId="9" fillId="0" borderId="1" applyAlignment="1" pivotButton="0" quotePrefix="0" xfId="0">
      <alignment horizontal="center" vertical="center"/>
    </xf>
    <xf numFmtId="0" fontId="5" fillId="5" borderId="1" pivotButton="0" quotePrefix="0" xfId="0"/>
    <xf numFmtId="166" fontId="2" fillId="5" borderId="1" applyAlignment="1" pivotButton="0" quotePrefix="0" xfId="0">
      <alignment horizontal="right" vertical="center"/>
    </xf>
    <xf numFmtId="166" fontId="6" fillId="7" borderId="1" applyAlignment="1" pivotButton="0" quotePrefix="0" xfId="0">
      <alignment horizontal="right" vertical="center"/>
    </xf>
    <xf numFmtId="1" fontId="6" fillId="7" borderId="1" applyAlignment="1" pivotButton="0" quotePrefix="0" xfId="0">
      <alignment horizontal="right" vertical="center"/>
    </xf>
    <xf numFmtId="0" fontId="2" fillId="5" borderId="0" applyAlignment="1" pivotButton="0" quotePrefix="0" xfId="0">
      <alignment horizontal="left" vertical="center"/>
    </xf>
    <xf numFmtId="0" fontId="5" fillId="0" borderId="0" applyAlignment="1" pivotButton="0" quotePrefix="0" xfId="0">
      <alignment horizontal="left" vertical="top" wrapText="1"/>
    </xf>
    <xf numFmtId="0" fontId="6" fillId="0" borderId="0" applyAlignment="1" pivotButton="0" quotePrefix="0" xfId="0">
      <alignment horizontal="center" vertical="center"/>
    </xf>
    <xf numFmtId="0" fontId="11" fillId="4" borderId="0" applyAlignment="1" pivotButton="0" quotePrefix="0" xfId="0">
      <alignment horizontal="left" vertical="top" wrapText="1"/>
    </xf>
    <xf numFmtId="0" fontId="6" fillId="0" borderId="0" pivotButton="0" quotePrefix="0" xfId="0"/>
    <xf numFmtId="165" fontId="0" fillId="0" borderId="0" pivotButton="0" quotePrefix="0" xfId="0"/>
  </cellXfs>
  <cellStyles count="1">
    <cellStyle name="Normal" xfId="0" builtinId="0" hidden="0"/>
  </cellStyles>
  <dxfs count="4">
    <dxf>
      <fill>
        <patternFill patternType="solid">
          <bgColor rgb="00D0CECE"/>
        </patternFill>
      </fill>
    </dxf>
    <dxf>
      <font>
        <b val="1"/>
        <color rgb="009C0006"/>
      </font>
      <fill>
        <patternFill patternType="solid">
          <bgColor rgb="00FFC7CE"/>
        </patternFill>
      </fill>
    </dxf>
    <dxf>
      <font>
        <b val="1"/>
        <color rgb="009C0006"/>
      </font>
    </dxf>
    <dxf>
      <fill>
        <patternFill patternType="solid">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325"/>
  <sheetViews>
    <sheetView workbookViewId="0">
      <pane ySplit="13" topLeftCell="A14" activePane="bottomLeft" state="frozen"/>
      <selection pane="bottomLeft" activeCell="A1" sqref="A1"/>
    </sheetView>
  </sheetViews>
  <sheetFormatPr baseColWidth="8" defaultRowHeight="15"/>
  <cols>
    <col width="4.5" customWidth="1" min="1" max="1"/>
    <col width="10.5" customWidth="1" min="2" max="2"/>
    <col width="11" customWidth="1" min="3" max="3"/>
    <col width="27" customWidth="1" min="4" max="4"/>
    <col width="12" customWidth="1" min="5" max="5"/>
    <col width="12" customWidth="1" min="6" max="6"/>
    <col width="13.5" customWidth="1" min="7" max="7"/>
    <col width="7.5" customWidth="1" min="8" max="8"/>
    <col width="5.5" customWidth="1" min="9" max="9"/>
    <col width="12" customWidth="1" min="10" max="10"/>
    <col width="12" customWidth="1" min="11" max="11"/>
    <col width="12.5" customWidth="1" min="12" max="12"/>
    <col width="10.5" customWidth="1" min="13" max="13"/>
    <col width="8.5"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1" ht="30" customHeight="1">
      <c r="A1" s="1" t="inlineStr">
        <is>
          <t>BANK LOAN ACCOUNT  –  QUARTERLY COMPOUND INTEREST STATEMENT</t>
        </is>
      </c>
    </row>
    <row r="2" ht="20" customHeight="1">
      <c r="A2" s="2">
        <f>IF(OR('Engine'!$B$8=0,$H$6=""),"▲  START HERE :  fill the Balance B/F date &amp; amount and the original interest rate in the panel below  ▼","INTEREST RATE ON THIS FILE :   "&amp;TEXT('Engine'!$B$8,"0.00")&amp;"% p.a. w.e.f. "&amp;TEXT('Engine'!$B$2,"DD-MM-YYYY")&amp;IF('Engine'!$B$9&gt;0,"      |      "&amp;TEXT('Engine'!$B$9,"0.00")&amp;"% p.a. w.e.f. "&amp;TEXT('Engine'!$B$4,"DD-MM-YYYY"),"")&amp;IF('Engine'!$B$10&gt;0,"      |      "&amp;TEXT('Engine'!$B$10,"0.00")&amp;"% p.a. w.e.f. "&amp;TEXT('Engine'!$B$6,"DD-MM-YYYY"),"")&amp;"            BASIS : actual days / "&amp;$H$8&amp;"   ·   COMPOUNDED QUARTERLY")</f>
        <v/>
      </c>
    </row>
    <row r="3" ht="16" customHeight="1">
      <c r="A3" s="3" t="inlineStr">
        <is>
          <t>■ PALE YELLOW + gold border = the ONLY cells you can type in.      ■ PALE BLUE / WHITE = locked formulas.      ■ GREY = period locked &amp; reconciled (no entry possible).      Interest is charged on the daily outstanding balance and capitalised every quarter-end.</t>
        </is>
      </c>
    </row>
    <row r="4" ht="6" customHeight="1"/>
    <row r="5">
      <c r="A5" s="4" t="inlineStr">
        <is>
          <t>LOAN ACCOUNT PARTICULARS</t>
        </is>
      </c>
      <c r="F5" s="4" t="inlineStr">
        <is>
          <t>LOAN BASIS  &amp;  LOCK CONTROL</t>
        </is>
      </c>
      <c r="J5" s="4" t="inlineStr">
        <is>
          <t>INTEREST RATE REGISTER  –  3 SLOTS, EFFECTIVE-DATE DRIVEN</t>
        </is>
      </c>
    </row>
    <row r="6">
      <c r="A6" s="5" t="inlineStr">
        <is>
          <t>Loan A/C No.</t>
        </is>
      </c>
      <c r="C6" s="6" t="inlineStr">
        <is>
          <t>1120000138481</t>
        </is>
      </c>
      <c r="D6" s="7" t="n"/>
      <c r="E6" s="7" t="n"/>
      <c r="F6" s="5" t="inlineStr">
        <is>
          <t>Balance B/F date</t>
        </is>
      </c>
      <c r="H6" s="8" t="n">
        <v>45613</v>
      </c>
      <c r="I6" s="7" t="n"/>
      <c r="J6" s="9" t="inlineStr">
        <is>
          <t>Slot</t>
        </is>
      </c>
      <c r="K6" s="9" t="inlineStr">
        <is>
          <t>Effective from</t>
        </is>
      </c>
      <c r="L6" s="9" t="inlineStr">
        <is>
          <t>% per annum</t>
        </is>
      </c>
      <c r="M6" s="9" t="inlineStr">
        <is>
          <t>In force up to</t>
        </is>
      </c>
      <c r="N6" s="9" t="inlineStr">
        <is>
          <t>Lock status</t>
        </is>
      </c>
    </row>
    <row r="7">
      <c r="A7" s="5" t="inlineStr">
        <is>
          <t>Borrower name</t>
        </is>
      </c>
      <c r="C7" s="6" t="inlineStr">
        <is>
          <t>MD MOHSIN CHOWDHURY</t>
        </is>
      </c>
      <c r="D7" s="7" t="n"/>
      <c r="E7" s="7" t="n"/>
      <c r="F7" s="5" t="inlineStr">
        <is>
          <t>Balance B/F amount (BDT)</t>
        </is>
      </c>
      <c r="H7" s="10" t="n">
        <v>5681000</v>
      </c>
      <c r="I7" s="7" t="n"/>
      <c r="J7" s="5" t="inlineStr">
        <is>
          <t>Rate 1 – original</t>
        </is>
      </c>
      <c r="K7" s="11">
        <f>IF($H$6="",0,$H$6)</f>
        <v/>
      </c>
      <c r="L7" s="12" t="n">
        <v>9</v>
      </c>
      <c r="M7" s="13">
        <f>IF($K$8="","till date",TEXT($K$8-1,"DD-MM-YYYY"))</f>
        <v/>
      </c>
      <c r="N7" s="14">
        <f>IF($L$7="","(slot free)",IF(AND($H$10&lt;&gt;"",$K$7&lt;=$H$10),"■ LOCKED","EDITABLE"))</f>
        <v/>
      </c>
    </row>
    <row r="8">
      <c r="A8" s="5" t="inlineStr">
        <is>
          <t>Type of facility</t>
        </is>
      </c>
      <c r="C8" s="6" t="inlineStr">
        <is>
          <t>Term Loan – quarterly compounding</t>
        </is>
      </c>
      <c r="D8" s="7" t="n"/>
      <c r="E8" s="7" t="n"/>
      <c r="F8" s="5" t="inlineStr">
        <is>
          <t>Interest basis (days/year)</t>
        </is>
      </c>
      <c r="H8" s="15" t="n">
        <v>365</v>
      </c>
      <c r="I8" s="7" t="n"/>
      <c r="J8" s="5" t="inlineStr">
        <is>
          <t>Rate 2 – 1st revision</t>
        </is>
      </c>
      <c r="K8" s="8" t="n">
        <v>45839</v>
      </c>
      <c r="L8" s="12" t="n">
        <v>10.5</v>
      </c>
      <c r="M8" s="13">
        <f>IF($K$9="","till date",TEXT($K$9-1,"DD-MM-YYYY"))</f>
        <v/>
      </c>
      <c r="N8" s="14">
        <f>IF($L$8="","(slot free)",IF(AND($H$10&lt;&gt;"",$K$8&lt;=$H$10),"■ LOCKED","EDITABLE"))</f>
        <v/>
      </c>
    </row>
    <row r="9">
      <c r="A9" s="5" t="inlineStr">
        <is>
          <t>Address</t>
        </is>
      </c>
      <c r="C9" s="6" t="inlineStr">
        <is>
          <t>Abc bay view, road 3, khulshi hills, Chittagong</t>
        </is>
      </c>
      <c r="D9" s="7" t="n"/>
      <c r="E9" s="7" t="n"/>
      <c r="F9" s="5" t="inlineStr">
        <is>
          <t>Quarter-end convention</t>
        </is>
      </c>
      <c r="H9" s="16" t="inlineStr">
        <is>
          <t>Calendar quarter-ends</t>
        </is>
      </c>
      <c r="I9" s="7" t="n"/>
      <c r="J9" s="5" t="inlineStr">
        <is>
          <t>Rate 3 – 2nd revision</t>
        </is>
      </c>
      <c r="K9" s="8" t="n">
        <v>46023</v>
      </c>
      <c r="L9" s="12" t="n">
        <v>11.25</v>
      </c>
      <c r="M9" s="13">
        <f>IF($L$9="","–","till date")</f>
        <v/>
      </c>
      <c r="N9" s="14">
        <f>IF($L$9="","(slot free)",IF(AND($H$10&lt;&gt;"",$K$9&lt;=$H$10),"■ LOCKED","EDITABLE"))</f>
        <v/>
      </c>
    </row>
    <row r="10" ht="22" customHeight="1">
      <c r="A10" s="5" t="inlineStr">
        <is>
          <t>Sanctioned limit (BDT)</t>
        </is>
      </c>
      <c r="C10" s="17" t="n">
        <v>6000000</v>
      </c>
      <c r="D10" s="7" t="n"/>
      <c r="E10" s="7" t="n"/>
      <c r="F10" s="5" t="inlineStr">
        <is>
          <t>Locked / reconciled up to</t>
        </is>
      </c>
      <c r="H10" s="8" t="n">
        <v>45747</v>
      </c>
      <c r="I10" s="7" t="n"/>
      <c r="J10" s="18" t="inlineStr">
        <is>
          <t>A revision may only be dated AFTER the ‘Locked / reconciled up to’ date. Interest already accrued under an earlier rate is never recalculated.</t>
        </is>
      </c>
    </row>
    <row r="11" ht="22" customHeight="1">
      <c r="A11" s="5" t="inlineStr">
        <is>
          <t>Statement period</t>
        </is>
      </c>
      <c r="C11" s="19">
        <f>IF($H$6="","– not set –",TEXT($H$6,"DD-MM-YYYY")&amp;"  to  "&amp;TEXT('Engine'!$F$25,"DD-MM-YYYY"))</f>
        <v/>
      </c>
      <c r="D11" s="20" t="n"/>
      <c r="E11" s="20" t="n"/>
      <c r="F11" s="21">
        <f>"Outstanding as on "&amp;TEXT(TODAY(),"DD-MM-YYYY")&amp;" (incl. accrued)"</f>
        <v/>
      </c>
      <c r="H11" s="22">
        <f>'Engine'!$B$15</f>
        <v/>
      </c>
      <c r="I11" s="20" t="n"/>
      <c r="J11" s="18" t="inlineStr">
        <is>
          <t>Within a quarter that contains a revision date, interest is split day-by-day between the old and the new rate automatically.</t>
        </is>
      </c>
    </row>
    <row r="12" ht="8" customHeight="1"/>
    <row r="13" ht="34" customHeight="1">
      <c r="A13" s="23" t="inlineStr">
        <is>
          <t>Sl.</t>
        </is>
      </c>
      <c r="B13" s="23" t="inlineStr">
        <is>
          <t>Date</t>
        </is>
      </c>
      <c r="C13" s="23" t="inlineStr">
        <is>
          <t>Cheque /
Instrument</t>
        </is>
      </c>
      <c r="D13" s="23" t="inlineStr">
        <is>
          <t>Particulars</t>
        </is>
      </c>
      <c r="E13" s="23" t="inlineStr">
        <is>
          <t>Debit
(interest charged)</t>
        </is>
      </c>
      <c r="F13" s="23" t="inlineStr">
        <is>
          <t>Credit
(repayment)</t>
        </is>
      </c>
      <c r="G13" s="23" t="inlineStr">
        <is>
          <t>Balance
(outstanding)</t>
        </is>
      </c>
      <c r="H13" s="23" t="inlineStr">
        <is>
          <t>Rate
applied</t>
        </is>
      </c>
      <c r="I13" s="23" t="inlineStr">
        <is>
          <t>Days</t>
        </is>
      </c>
      <c r="J13" s="23" t="inlineStr">
        <is>
          <t>Interest for
the period</t>
        </is>
      </c>
      <c r="K13" s="23" t="inlineStr">
        <is>
          <t>Accrued interest
(not yet charged)</t>
        </is>
      </c>
      <c r="L13" s="23" t="inlineStr">
        <is>
          <t>Balance
per Bank</t>
        </is>
      </c>
      <c r="M13" s="23" t="inlineStr">
        <is>
          <t>Variance</t>
        </is>
      </c>
      <c r="N13" s="23" t="inlineStr">
        <is>
          <t>Status</t>
        </is>
      </c>
    </row>
    <row r="14" ht="18" customHeight="1">
      <c r="A14" s="24">
        <f>IF($P$14=0,"QUARTER 1          –  enter the Balance B/F date above to activate this quarter  –","QUARTER 1          "&amp;TEXT($P$14,"DD-MM-YYYY")&amp;"   to   "&amp;TEXT($Q$14,"DD-MM-YYYY")&amp;"          "&amp;IF(AND($H$10&lt;&gt;"",$Q$14&lt;=$H$10),"■ LOCKED – reconciled, no entry allowed","▷ OPEN for entry")&amp;"          RATE(S) APPLIED :  "&amp;$R$14)</f>
        <v/>
      </c>
      <c r="O14" s="25">
        <f>'Engine'!$E$2</f>
        <v/>
      </c>
      <c r="P14" s="25">
        <f>'Engine'!$E$2</f>
        <v/>
      </c>
      <c r="Q14" s="25">
        <f>'Engine'!$F$2</f>
        <v/>
      </c>
      <c r="R14" s="26">
        <f>'Engine'!$G$2</f>
        <v/>
      </c>
    </row>
    <row r="15">
      <c r="A15" s="27" t="inlineStr">
        <is>
          <t>B/F</t>
        </is>
      </c>
      <c r="B15" s="28">
        <f>$P$14</f>
        <v/>
      </c>
      <c r="C15" s="29" t="n"/>
      <c r="D15" s="30">
        <f>IF($B15=0,"","Opening balance brought forward as on "&amp;TEXT($B15,"DD-MM-YYYY"))</f>
        <v/>
      </c>
      <c r="E15" s="31" t="n"/>
      <c r="F15" s="31" t="n"/>
      <c r="G15" s="32">
        <f>$S$15</f>
        <v/>
      </c>
      <c r="H15" s="33" t="n"/>
      <c r="I15" s="34" t="n">
        <v>0</v>
      </c>
      <c r="J15" s="35" t="n">
        <v>0</v>
      </c>
      <c r="K15" s="35" t="n">
        <v>0</v>
      </c>
      <c r="L15" s="36" t="n"/>
      <c r="M15" s="35">
        <f>IF($L$15="","",ROUND($S$15-$L$15,2))</f>
        <v/>
      </c>
      <c r="N15" s="37">
        <f>IF(AND($H$10&lt;&gt;"",$O$15&lt;=$H$10),"LOCKED","OPEN")</f>
        <v/>
      </c>
      <c r="O15" s="25">
        <f>$P$14</f>
        <v/>
      </c>
      <c r="S15" s="38">
        <f>$H$7</f>
        <v/>
      </c>
      <c r="T15" s="38" t="n">
        <v>0</v>
      </c>
    </row>
    <row r="16">
      <c r="A16" s="39">
        <f>IF($F16="","",COUNT($F$14:$F16))</f>
        <v/>
      </c>
      <c r="B16" s="8" t="n">
        <v>45641</v>
      </c>
      <c r="C16" s="6" t="inlineStr">
        <is>
          <t>CHQ 123456</t>
        </is>
      </c>
      <c r="D16" s="6" t="inlineStr">
        <is>
          <t>Repayment by transfer</t>
        </is>
      </c>
      <c r="E16" s="40" t="n"/>
      <c r="F16" s="36" t="n">
        <v>500000</v>
      </c>
      <c r="G16" s="41">
        <f>IF($B16="","",$S16)</f>
        <v/>
      </c>
      <c r="H16" s="42">
        <f>IF($I16&lt;=0,"",('Engine'!$B$8*MAX(0,MIN($O16,'Engine'!$B$3)-MAX($O15,'Engine'!$B$2))+'Engine'!$B$9*MAX(0,MIN($O16,'Engine'!$B$5)-MAX($O15,'Engine'!$B$4))+'Engine'!$B$10*MAX(0,MIN($O16,'Engine'!$B$7)-MAX($O15,'Engine'!$B$6)))/100/$H$8/$I16*$H$8*100)</f>
        <v/>
      </c>
      <c r="I16" s="43">
        <f>$O16-$O15</f>
        <v/>
      </c>
      <c r="J16" s="41">
        <f>IF($I16&lt;=0,0,$S15*('Engine'!$B$8*MAX(0,MIN($O16,'Engine'!$B$3)-MAX($O15,'Engine'!$B$2))+'Engine'!$B$9*MAX(0,MIN($O16,'Engine'!$B$5)-MAX($O15,'Engine'!$B$4))+'Engine'!$B$10*MAX(0,MIN($O16,'Engine'!$B$7)-MAX($O15,'Engine'!$B$6)))/100/$H$8)</f>
        <v/>
      </c>
      <c r="K16" s="41">
        <f>IF($B16="","",$T16)</f>
        <v/>
      </c>
      <c r="L16" s="36" t="n"/>
      <c r="M16" s="41">
        <f>IF($L16="","",ROUND($S16-$L16,2))</f>
        <v/>
      </c>
      <c r="N16" s="44">
        <f>IF(AND($H$10&lt;&gt;"",$O16&lt;=$H$10),"LOCKED","OPEN")</f>
        <v/>
      </c>
      <c r="O16" s="25">
        <f>IF($B16="",$O15,$B16)</f>
        <v/>
      </c>
      <c r="S16" s="38">
        <f>$S15-IF($F16="",0,$F16)</f>
        <v/>
      </c>
      <c r="T16" s="38">
        <f>$T15+$J16</f>
        <v/>
      </c>
    </row>
    <row r="17">
      <c r="A17" s="39">
        <f>IF($F17="","",COUNT($F$14:$F17))</f>
        <v/>
      </c>
      <c r="B17" s="8" t="n"/>
      <c r="C17" s="6" t="n"/>
      <c r="D17" s="6" t="n"/>
      <c r="E17" s="40" t="n"/>
      <c r="F17" s="36" t="n"/>
      <c r="G17" s="41">
        <f>IF($B17="","",$S17)</f>
        <v/>
      </c>
      <c r="H17" s="42">
        <f>IF($I17&lt;=0,"",('Engine'!$B$8*MAX(0,MIN($O17,'Engine'!$B$3)-MAX($O16,'Engine'!$B$2))+'Engine'!$B$9*MAX(0,MIN($O17,'Engine'!$B$5)-MAX($O16,'Engine'!$B$4))+'Engine'!$B$10*MAX(0,MIN($O17,'Engine'!$B$7)-MAX($O16,'Engine'!$B$6)))/100/$H$8/$I17*$H$8*100)</f>
        <v/>
      </c>
      <c r="I17" s="43">
        <f>$O17-$O16</f>
        <v/>
      </c>
      <c r="J17" s="41">
        <f>IF($I17&lt;=0,0,$S16*('Engine'!$B$8*MAX(0,MIN($O17,'Engine'!$B$3)-MAX($O16,'Engine'!$B$2))+'Engine'!$B$9*MAX(0,MIN($O17,'Engine'!$B$5)-MAX($O16,'Engine'!$B$4))+'Engine'!$B$10*MAX(0,MIN($O17,'Engine'!$B$7)-MAX($O16,'Engine'!$B$6)))/100/$H$8)</f>
        <v/>
      </c>
      <c r="K17" s="41">
        <f>IF($B17="","",$T17)</f>
        <v/>
      </c>
      <c r="L17" s="36" t="n"/>
      <c r="M17" s="41">
        <f>IF($L17="","",ROUND($S17-$L17,2))</f>
        <v/>
      </c>
      <c r="N17" s="44">
        <f>IF(AND($H$10&lt;&gt;"",$O17&lt;=$H$10),"LOCKED","OPEN")</f>
        <v/>
      </c>
      <c r="O17" s="25">
        <f>IF($B17="",$O16,$B17)</f>
        <v/>
      </c>
      <c r="S17" s="38">
        <f>$S16-IF($F17="",0,$F17)</f>
        <v/>
      </c>
      <c r="T17" s="38">
        <f>$T16+$J17</f>
        <v/>
      </c>
    </row>
    <row r="18">
      <c r="A18" s="39">
        <f>IF($F18="","",COUNT($F$14:$F18))</f>
        <v/>
      </c>
      <c r="B18" s="8" t="n"/>
      <c r="C18" s="6" t="n"/>
      <c r="D18" s="6" t="n"/>
      <c r="E18" s="40" t="n"/>
      <c r="F18" s="36" t="n"/>
      <c r="G18" s="41">
        <f>IF($B18="","",$S18)</f>
        <v/>
      </c>
      <c r="H18" s="42">
        <f>IF($I18&lt;=0,"",('Engine'!$B$8*MAX(0,MIN($O18,'Engine'!$B$3)-MAX($O17,'Engine'!$B$2))+'Engine'!$B$9*MAX(0,MIN($O18,'Engine'!$B$5)-MAX($O17,'Engine'!$B$4))+'Engine'!$B$10*MAX(0,MIN($O18,'Engine'!$B$7)-MAX($O17,'Engine'!$B$6)))/100/$H$8/$I18*$H$8*100)</f>
        <v/>
      </c>
      <c r="I18" s="43">
        <f>$O18-$O17</f>
        <v/>
      </c>
      <c r="J18" s="41">
        <f>IF($I18&lt;=0,0,$S17*('Engine'!$B$8*MAX(0,MIN($O18,'Engine'!$B$3)-MAX($O17,'Engine'!$B$2))+'Engine'!$B$9*MAX(0,MIN($O18,'Engine'!$B$5)-MAX($O17,'Engine'!$B$4))+'Engine'!$B$10*MAX(0,MIN($O18,'Engine'!$B$7)-MAX($O17,'Engine'!$B$6)))/100/$H$8)</f>
        <v/>
      </c>
      <c r="K18" s="41">
        <f>IF($B18="","",$T18)</f>
        <v/>
      </c>
      <c r="L18" s="36" t="n"/>
      <c r="M18" s="41">
        <f>IF($L18="","",ROUND($S18-$L18,2))</f>
        <v/>
      </c>
      <c r="N18" s="44">
        <f>IF(AND($H$10&lt;&gt;"",$O18&lt;=$H$10),"LOCKED","OPEN")</f>
        <v/>
      </c>
      <c r="O18" s="25">
        <f>IF($B18="",$O17,$B18)</f>
        <v/>
      </c>
      <c r="S18" s="38">
        <f>$S17-IF($F18="",0,$F18)</f>
        <v/>
      </c>
      <c r="T18" s="38">
        <f>$T17+$J18</f>
        <v/>
      </c>
    </row>
    <row r="19">
      <c r="A19" s="39">
        <f>IF($F19="","",COUNT($F$14:$F19))</f>
        <v/>
      </c>
      <c r="B19" s="8" t="n"/>
      <c r="C19" s="6" t="n"/>
      <c r="D19" s="6" t="n"/>
      <c r="E19" s="40" t="n"/>
      <c r="F19" s="36" t="n"/>
      <c r="G19" s="41">
        <f>IF($B19="","",$S19)</f>
        <v/>
      </c>
      <c r="H19" s="42">
        <f>IF($I19&lt;=0,"",('Engine'!$B$8*MAX(0,MIN($O19,'Engine'!$B$3)-MAX($O18,'Engine'!$B$2))+'Engine'!$B$9*MAX(0,MIN($O19,'Engine'!$B$5)-MAX($O18,'Engine'!$B$4))+'Engine'!$B$10*MAX(0,MIN($O19,'Engine'!$B$7)-MAX($O18,'Engine'!$B$6)))/100/$H$8/$I19*$H$8*100)</f>
        <v/>
      </c>
      <c r="I19" s="43">
        <f>$O19-$O18</f>
        <v/>
      </c>
      <c r="J19" s="41">
        <f>IF($I19&lt;=0,0,$S18*('Engine'!$B$8*MAX(0,MIN($O19,'Engine'!$B$3)-MAX($O18,'Engine'!$B$2))+'Engine'!$B$9*MAX(0,MIN($O19,'Engine'!$B$5)-MAX($O18,'Engine'!$B$4))+'Engine'!$B$10*MAX(0,MIN($O19,'Engine'!$B$7)-MAX($O18,'Engine'!$B$6)))/100/$H$8)</f>
        <v/>
      </c>
      <c r="K19" s="41">
        <f>IF($B19="","",$T19)</f>
        <v/>
      </c>
      <c r="L19" s="36" t="n"/>
      <c r="M19" s="41">
        <f>IF($L19="","",ROUND($S19-$L19,2))</f>
        <v/>
      </c>
      <c r="N19" s="44">
        <f>IF(AND($H$10&lt;&gt;"",$O19&lt;=$H$10),"LOCKED","OPEN")</f>
        <v/>
      </c>
      <c r="O19" s="25">
        <f>IF($B19="",$O18,$B19)</f>
        <v/>
      </c>
      <c r="S19" s="38">
        <f>$S18-IF($F19="",0,$F19)</f>
        <v/>
      </c>
      <c r="T19" s="38">
        <f>$T18+$J19</f>
        <v/>
      </c>
    </row>
    <row r="20">
      <c r="A20" s="39">
        <f>IF($F20="","",COUNT($F$14:$F20))</f>
        <v/>
      </c>
      <c r="B20" s="8" t="n"/>
      <c r="C20" s="6" t="n"/>
      <c r="D20" s="6" t="n"/>
      <c r="E20" s="40" t="n"/>
      <c r="F20" s="36" t="n"/>
      <c r="G20" s="41">
        <f>IF($B20="","",$S20)</f>
        <v/>
      </c>
      <c r="H20" s="42">
        <f>IF($I20&lt;=0,"",('Engine'!$B$8*MAX(0,MIN($O20,'Engine'!$B$3)-MAX($O19,'Engine'!$B$2))+'Engine'!$B$9*MAX(0,MIN($O20,'Engine'!$B$5)-MAX($O19,'Engine'!$B$4))+'Engine'!$B$10*MAX(0,MIN($O20,'Engine'!$B$7)-MAX($O19,'Engine'!$B$6)))/100/$H$8/$I20*$H$8*100)</f>
        <v/>
      </c>
      <c r="I20" s="43">
        <f>$O20-$O19</f>
        <v/>
      </c>
      <c r="J20" s="41">
        <f>IF($I20&lt;=0,0,$S19*('Engine'!$B$8*MAX(0,MIN($O20,'Engine'!$B$3)-MAX($O19,'Engine'!$B$2))+'Engine'!$B$9*MAX(0,MIN($O20,'Engine'!$B$5)-MAX($O19,'Engine'!$B$4))+'Engine'!$B$10*MAX(0,MIN($O20,'Engine'!$B$7)-MAX($O19,'Engine'!$B$6)))/100/$H$8)</f>
        <v/>
      </c>
      <c r="K20" s="41">
        <f>IF($B20="","",$T20)</f>
        <v/>
      </c>
      <c r="L20" s="36" t="n"/>
      <c r="M20" s="41">
        <f>IF($L20="","",ROUND($S20-$L20,2))</f>
        <v/>
      </c>
      <c r="N20" s="44">
        <f>IF(AND($H$10&lt;&gt;"",$O20&lt;=$H$10),"LOCKED","OPEN")</f>
        <v/>
      </c>
      <c r="O20" s="25">
        <f>IF($B20="",$O19,$B20)</f>
        <v/>
      </c>
      <c r="S20" s="38">
        <f>$S19-IF($F20="",0,$F20)</f>
        <v/>
      </c>
      <c r="T20" s="38">
        <f>$T19+$J20</f>
        <v/>
      </c>
    </row>
    <row r="21">
      <c r="A21" s="39">
        <f>IF($F21="","",COUNT($F$14:$F21))</f>
        <v/>
      </c>
      <c r="B21" s="8" t="n"/>
      <c r="C21" s="6" t="n"/>
      <c r="D21" s="6" t="n"/>
      <c r="E21" s="40" t="n"/>
      <c r="F21" s="36" t="n"/>
      <c r="G21" s="41">
        <f>IF($B21="","",$S21)</f>
        <v/>
      </c>
      <c r="H21" s="42">
        <f>IF($I21&lt;=0,"",('Engine'!$B$8*MAX(0,MIN($O21,'Engine'!$B$3)-MAX($O20,'Engine'!$B$2))+'Engine'!$B$9*MAX(0,MIN($O21,'Engine'!$B$5)-MAX($O20,'Engine'!$B$4))+'Engine'!$B$10*MAX(0,MIN($O21,'Engine'!$B$7)-MAX($O20,'Engine'!$B$6)))/100/$H$8/$I21*$H$8*100)</f>
        <v/>
      </c>
      <c r="I21" s="43">
        <f>$O21-$O20</f>
        <v/>
      </c>
      <c r="J21" s="41">
        <f>IF($I21&lt;=0,0,$S20*('Engine'!$B$8*MAX(0,MIN($O21,'Engine'!$B$3)-MAX($O20,'Engine'!$B$2))+'Engine'!$B$9*MAX(0,MIN($O21,'Engine'!$B$5)-MAX($O20,'Engine'!$B$4))+'Engine'!$B$10*MAX(0,MIN($O21,'Engine'!$B$7)-MAX($O20,'Engine'!$B$6)))/100/$H$8)</f>
        <v/>
      </c>
      <c r="K21" s="41">
        <f>IF($B21="","",$T21)</f>
        <v/>
      </c>
      <c r="L21" s="36" t="n"/>
      <c r="M21" s="41">
        <f>IF($L21="","",ROUND($S21-$L21,2))</f>
        <v/>
      </c>
      <c r="N21" s="44">
        <f>IF(AND($H$10&lt;&gt;"",$O21&lt;=$H$10),"LOCKED","OPEN")</f>
        <v/>
      </c>
      <c r="O21" s="25">
        <f>IF($B21="",$O20,$B21)</f>
        <v/>
      </c>
      <c r="S21" s="38">
        <f>$S20-IF($F21="",0,$F21)</f>
        <v/>
      </c>
      <c r="T21" s="38">
        <f>$T20+$J21</f>
        <v/>
      </c>
    </row>
    <row r="22">
      <c r="A22" s="39">
        <f>IF($F22="","",COUNT($F$14:$F22))</f>
        <v/>
      </c>
      <c r="B22" s="8" t="n"/>
      <c r="C22" s="6" t="n"/>
      <c r="D22" s="6" t="n"/>
      <c r="E22" s="40" t="n"/>
      <c r="F22" s="36" t="n"/>
      <c r="G22" s="41">
        <f>IF($B22="","",$S22)</f>
        <v/>
      </c>
      <c r="H22" s="42">
        <f>IF($I22&lt;=0,"",('Engine'!$B$8*MAX(0,MIN($O22,'Engine'!$B$3)-MAX($O21,'Engine'!$B$2))+'Engine'!$B$9*MAX(0,MIN($O22,'Engine'!$B$5)-MAX($O21,'Engine'!$B$4))+'Engine'!$B$10*MAX(0,MIN($O22,'Engine'!$B$7)-MAX($O21,'Engine'!$B$6)))/100/$H$8/$I22*$H$8*100)</f>
        <v/>
      </c>
      <c r="I22" s="43">
        <f>$O22-$O21</f>
        <v/>
      </c>
      <c r="J22" s="41">
        <f>IF($I22&lt;=0,0,$S21*('Engine'!$B$8*MAX(0,MIN($O22,'Engine'!$B$3)-MAX($O21,'Engine'!$B$2))+'Engine'!$B$9*MAX(0,MIN($O22,'Engine'!$B$5)-MAX($O21,'Engine'!$B$4))+'Engine'!$B$10*MAX(0,MIN($O22,'Engine'!$B$7)-MAX($O21,'Engine'!$B$6)))/100/$H$8)</f>
        <v/>
      </c>
      <c r="K22" s="41">
        <f>IF($B22="","",$T22)</f>
        <v/>
      </c>
      <c r="L22" s="36" t="n"/>
      <c r="M22" s="41">
        <f>IF($L22="","",ROUND($S22-$L22,2))</f>
        <v/>
      </c>
      <c r="N22" s="44">
        <f>IF(AND($H$10&lt;&gt;"",$O22&lt;=$H$10),"LOCKED","OPEN")</f>
        <v/>
      </c>
      <c r="O22" s="25">
        <f>IF($B22="",$O21,$B22)</f>
        <v/>
      </c>
      <c r="S22" s="38">
        <f>$S21-IF($F22="",0,$F22)</f>
        <v/>
      </c>
      <c r="T22" s="38">
        <f>$T21+$J22</f>
        <v/>
      </c>
    </row>
    <row r="23">
      <c r="A23" s="39">
        <f>IF($F23="","",COUNT($F$14:$F23))</f>
        <v/>
      </c>
      <c r="B23" s="8" t="n"/>
      <c r="C23" s="6" t="n"/>
      <c r="D23" s="6" t="n"/>
      <c r="E23" s="40" t="n"/>
      <c r="F23" s="36" t="n"/>
      <c r="G23" s="41">
        <f>IF($B23="","",$S23)</f>
        <v/>
      </c>
      <c r="H23" s="42">
        <f>IF($I23&lt;=0,"",('Engine'!$B$8*MAX(0,MIN($O23,'Engine'!$B$3)-MAX($O22,'Engine'!$B$2))+'Engine'!$B$9*MAX(0,MIN($O23,'Engine'!$B$5)-MAX($O22,'Engine'!$B$4))+'Engine'!$B$10*MAX(0,MIN($O23,'Engine'!$B$7)-MAX($O22,'Engine'!$B$6)))/100/$H$8/$I23*$H$8*100)</f>
        <v/>
      </c>
      <c r="I23" s="43">
        <f>$O23-$O22</f>
        <v/>
      </c>
      <c r="J23" s="41">
        <f>IF($I23&lt;=0,0,$S22*('Engine'!$B$8*MAX(0,MIN($O23,'Engine'!$B$3)-MAX($O22,'Engine'!$B$2))+'Engine'!$B$9*MAX(0,MIN($O23,'Engine'!$B$5)-MAX($O22,'Engine'!$B$4))+'Engine'!$B$10*MAX(0,MIN($O23,'Engine'!$B$7)-MAX($O22,'Engine'!$B$6)))/100/$H$8)</f>
        <v/>
      </c>
      <c r="K23" s="41">
        <f>IF($B23="","",$T23)</f>
        <v/>
      </c>
      <c r="L23" s="36" t="n"/>
      <c r="M23" s="41">
        <f>IF($L23="","",ROUND($S23-$L23,2))</f>
        <v/>
      </c>
      <c r="N23" s="44">
        <f>IF(AND($H$10&lt;&gt;"",$O23&lt;=$H$10),"LOCKED","OPEN")</f>
        <v/>
      </c>
      <c r="O23" s="25">
        <f>IF($B23="",$O22,$B23)</f>
        <v/>
      </c>
      <c r="S23" s="38">
        <f>$S22-IF($F23="",0,$F23)</f>
        <v/>
      </c>
      <c r="T23" s="38">
        <f>$T22+$J23</f>
        <v/>
      </c>
    </row>
    <row r="24">
      <c r="A24" s="39">
        <f>IF($F24="","",COUNT($F$14:$F24))</f>
        <v/>
      </c>
      <c r="B24" s="8" t="n"/>
      <c r="C24" s="6" t="n"/>
      <c r="D24" s="6" t="n"/>
      <c r="E24" s="40" t="n"/>
      <c r="F24" s="36" t="n"/>
      <c r="G24" s="41">
        <f>IF($B24="","",$S24)</f>
        <v/>
      </c>
      <c r="H24" s="42">
        <f>IF($I24&lt;=0,"",('Engine'!$B$8*MAX(0,MIN($O24,'Engine'!$B$3)-MAX($O23,'Engine'!$B$2))+'Engine'!$B$9*MAX(0,MIN($O24,'Engine'!$B$5)-MAX($O23,'Engine'!$B$4))+'Engine'!$B$10*MAX(0,MIN($O24,'Engine'!$B$7)-MAX($O23,'Engine'!$B$6)))/100/$H$8/$I24*$H$8*100)</f>
        <v/>
      </c>
      <c r="I24" s="43">
        <f>$O24-$O23</f>
        <v/>
      </c>
      <c r="J24" s="41">
        <f>IF($I24&lt;=0,0,$S23*('Engine'!$B$8*MAX(0,MIN($O24,'Engine'!$B$3)-MAX($O23,'Engine'!$B$2))+'Engine'!$B$9*MAX(0,MIN($O24,'Engine'!$B$5)-MAX($O23,'Engine'!$B$4))+'Engine'!$B$10*MAX(0,MIN($O24,'Engine'!$B$7)-MAX($O23,'Engine'!$B$6)))/100/$H$8)</f>
        <v/>
      </c>
      <c r="K24" s="41">
        <f>IF($B24="","",$T24)</f>
        <v/>
      </c>
      <c r="L24" s="36" t="n"/>
      <c r="M24" s="41">
        <f>IF($L24="","",ROUND($S24-$L24,2))</f>
        <v/>
      </c>
      <c r="N24" s="44">
        <f>IF(AND($H$10&lt;&gt;"",$O24&lt;=$H$10),"LOCKED","OPEN")</f>
        <v/>
      </c>
      <c r="O24" s="25">
        <f>IF($B24="",$O23,$B24)</f>
        <v/>
      </c>
      <c r="S24" s="38">
        <f>$S23-IF($F24="",0,$F24)</f>
        <v/>
      </c>
      <c r="T24" s="38">
        <f>$T23+$J24</f>
        <v/>
      </c>
    </row>
    <row r="25">
      <c r="A25" s="39">
        <f>IF($F25="","",COUNT($F$14:$F25))</f>
        <v/>
      </c>
      <c r="B25" s="8" t="n"/>
      <c r="C25" s="6" t="n"/>
      <c r="D25" s="6" t="n"/>
      <c r="E25" s="40" t="n"/>
      <c r="F25" s="36" t="n"/>
      <c r="G25" s="41">
        <f>IF($B25="","",$S25)</f>
        <v/>
      </c>
      <c r="H25" s="42">
        <f>IF($I25&lt;=0,"",('Engine'!$B$8*MAX(0,MIN($O25,'Engine'!$B$3)-MAX($O24,'Engine'!$B$2))+'Engine'!$B$9*MAX(0,MIN($O25,'Engine'!$B$5)-MAX($O24,'Engine'!$B$4))+'Engine'!$B$10*MAX(0,MIN($O25,'Engine'!$B$7)-MAX($O24,'Engine'!$B$6)))/100/$H$8/$I25*$H$8*100)</f>
        <v/>
      </c>
      <c r="I25" s="43">
        <f>$O25-$O24</f>
        <v/>
      </c>
      <c r="J25" s="41">
        <f>IF($I25&lt;=0,0,$S24*('Engine'!$B$8*MAX(0,MIN($O25,'Engine'!$B$3)-MAX($O24,'Engine'!$B$2))+'Engine'!$B$9*MAX(0,MIN($O25,'Engine'!$B$5)-MAX($O24,'Engine'!$B$4))+'Engine'!$B$10*MAX(0,MIN($O25,'Engine'!$B$7)-MAX($O24,'Engine'!$B$6)))/100/$H$8)</f>
        <v/>
      </c>
      <c r="K25" s="41">
        <f>IF($B25="","",$T25)</f>
        <v/>
      </c>
      <c r="L25" s="36" t="n"/>
      <c r="M25" s="41">
        <f>IF($L25="","",ROUND($S25-$L25,2))</f>
        <v/>
      </c>
      <c r="N25" s="44">
        <f>IF(AND($H$10&lt;&gt;"",$O25&lt;=$H$10),"LOCKED","OPEN")</f>
        <v/>
      </c>
      <c r="O25" s="25">
        <f>IF($B25="",$O24,$B25)</f>
        <v/>
      </c>
      <c r="S25" s="38">
        <f>$S24-IF($F25="",0,$F25)</f>
        <v/>
      </c>
      <c r="T25" s="38">
        <f>$T24+$J25</f>
        <v/>
      </c>
    </row>
    <row r="26">
      <c r="A26" s="45" t="inlineStr">
        <is>
          <t>INT</t>
        </is>
      </c>
      <c r="B26" s="46">
        <f>$Q$14</f>
        <v/>
      </c>
      <c r="C26" s="47" t="n"/>
      <c r="D26" s="48">
        <f>"Interest for the quarter debited &amp; capitalised   ·   rate(s) applied :  "&amp;$R$14</f>
        <v/>
      </c>
      <c r="E26" s="49">
        <f>ROUND($T25+$J26,2)</f>
        <v/>
      </c>
      <c r="F26" s="50" t="n"/>
      <c r="G26" s="49">
        <f>$S26</f>
        <v/>
      </c>
      <c r="H26" s="51">
        <f>IF($I26&lt;=0,"",('Engine'!$B$8*MAX(0,MIN($O26,'Engine'!$B$3)-MAX($O25,'Engine'!$B$2))+'Engine'!$B$9*MAX(0,MIN($O26,'Engine'!$B$5)-MAX($O25,'Engine'!$B$4))+'Engine'!$B$10*MAX(0,MIN($O26,'Engine'!$B$7)-MAX($O25,'Engine'!$B$6)))/100/$H$8/$I26*$H$8*100)</f>
        <v/>
      </c>
      <c r="I26" s="52">
        <f>$O26-$O25</f>
        <v/>
      </c>
      <c r="J26" s="53">
        <f>IF($I26&lt;=0,0,$S25*('Engine'!$B$8*MAX(0,MIN($O26,'Engine'!$B$3)-MAX($O25,'Engine'!$B$2))+'Engine'!$B$9*MAX(0,MIN($O26,'Engine'!$B$5)-MAX($O25,'Engine'!$B$4))+'Engine'!$B$10*MAX(0,MIN($O26,'Engine'!$B$7)-MAX($O25,'Engine'!$B$6)))/100/$H$8)</f>
        <v/>
      </c>
      <c r="K26" s="53" t="n">
        <v>0</v>
      </c>
      <c r="L26" s="36" t="n">
        <v>5240662.36</v>
      </c>
      <c r="M26" s="53">
        <f>IF($L26="","",ROUND($S26-$L26,2))</f>
        <v/>
      </c>
      <c r="N26" s="54">
        <f>IF(AND($H$10&lt;&gt;"",$O26&lt;=$H$10),"LOCKED","OPEN")</f>
        <v/>
      </c>
      <c r="O26" s="25">
        <f>$Q$14</f>
        <v/>
      </c>
      <c r="S26" s="38">
        <f>$S25+$E26</f>
        <v/>
      </c>
      <c r="T26" s="38" t="n">
        <v>0</v>
      </c>
    </row>
    <row r="27" ht="18" customHeight="1">
      <c r="A27" s="24">
        <f>IF($P$27=0,"QUARTER 2          –  enter the Balance B/F date above to activate this quarter  –","QUARTER 2          "&amp;TEXT($P$27,"DD-MM-YYYY")&amp;"   to   "&amp;TEXT($Q$27,"DD-MM-YYYY")&amp;"          "&amp;IF(AND($H$10&lt;&gt;"",$Q$27&lt;=$H$10),"■ LOCKED – reconciled, no entry allowed","▷ OPEN for entry")&amp;"          RATE(S) APPLIED :  "&amp;$R$27)</f>
        <v/>
      </c>
      <c r="O27" s="25">
        <f>'Engine'!$E$3</f>
        <v/>
      </c>
      <c r="P27" s="25">
        <f>'Engine'!$E$3</f>
        <v/>
      </c>
      <c r="Q27" s="25">
        <f>'Engine'!$F$3</f>
        <v/>
      </c>
      <c r="R27" s="26">
        <f>'Engine'!$G$3</f>
        <v/>
      </c>
    </row>
    <row r="28">
      <c r="A28" s="27" t="inlineStr">
        <is>
          <t>B/F</t>
        </is>
      </c>
      <c r="B28" s="28">
        <f>$P$27</f>
        <v/>
      </c>
      <c r="C28" s="29" t="n"/>
      <c r="D28" s="30">
        <f>"Balance carried forward from quarter 1 – interest capitalised"</f>
        <v/>
      </c>
      <c r="E28" s="31" t="n"/>
      <c r="F28" s="31" t="n"/>
      <c r="G28" s="32">
        <f>$S$28</f>
        <v/>
      </c>
      <c r="H28" s="33" t="n"/>
      <c r="I28" s="34">
        <f>$O$28-$O$26</f>
        <v/>
      </c>
      <c r="J28" s="35" t="n">
        <v>0</v>
      </c>
      <c r="K28" s="35" t="n">
        <v>0</v>
      </c>
      <c r="L28" s="36" t="n"/>
      <c r="M28" s="35">
        <f>IF($L$28="","",ROUND($S$28-$L$28,2))</f>
        <v/>
      </c>
      <c r="N28" s="37">
        <f>IF(AND($H$10&lt;&gt;"",$O$28&lt;=$H$10),"LOCKED","OPEN")</f>
        <v/>
      </c>
      <c r="O28" s="25">
        <f>$P$27</f>
        <v/>
      </c>
      <c r="S28" s="38">
        <f>$S$26</f>
        <v/>
      </c>
      <c r="T28" s="38" t="n">
        <v>0</v>
      </c>
    </row>
    <row r="29">
      <c r="A29" s="39">
        <f>IF($F29="","",COUNT($F$14:$F29))</f>
        <v/>
      </c>
      <c r="B29" s="8" t="n">
        <v>45677</v>
      </c>
      <c r="C29" s="6" t="inlineStr">
        <is>
          <t>CHQ 123457</t>
        </is>
      </c>
      <c r="D29" s="6" t="inlineStr">
        <is>
          <t>Repayment by transfer</t>
        </is>
      </c>
      <c r="E29" s="40" t="n"/>
      <c r="F29" s="36" t="n">
        <v>300000</v>
      </c>
      <c r="G29" s="41">
        <f>IF($B29="","",$S29)</f>
        <v/>
      </c>
      <c r="H29" s="42">
        <f>IF($I29&lt;=0,"",('Engine'!$B$8*MAX(0,MIN($O29,'Engine'!$B$3)-MAX($O28,'Engine'!$B$2))+'Engine'!$B$9*MAX(0,MIN($O29,'Engine'!$B$5)-MAX($O28,'Engine'!$B$4))+'Engine'!$B$10*MAX(0,MIN($O29,'Engine'!$B$7)-MAX($O28,'Engine'!$B$6)))/100/$H$8/$I29*$H$8*100)</f>
        <v/>
      </c>
      <c r="I29" s="43">
        <f>$O29-$O28</f>
        <v/>
      </c>
      <c r="J29" s="41">
        <f>IF($I29&lt;=0,0,$S28*('Engine'!$B$8*MAX(0,MIN($O29,'Engine'!$B$3)-MAX($O28,'Engine'!$B$2))+'Engine'!$B$9*MAX(0,MIN($O29,'Engine'!$B$5)-MAX($O28,'Engine'!$B$4))+'Engine'!$B$10*MAX(0,MIN($O29,'Engine'!$B$7)-MAX($O28,'Engine'!$B$6)))/100/$H$8)</f>
        <v/>
      </c>
      <c r="K29" s="41">
        <f>IF($B29="","",$T29)</f>
        <v/>
      </c>
      <c r="L29" s="36" t="n"/>
      <c r="M29" s="41">
        <f>IF($L29="","",ROUND($S29-$L29,2))</f>
        <v/>
      </c>
      <c r="N29" s="44">
        <f>IF(AND($H$10&lt;&gt;"",$O29&lt;=$H$10),"LOCKED","OPEN")</f>
        <v/>
      </c>
      <c r="O29" s="25">
        <f>IF($B29="",$O28,$B29)</f>
        <v/>
      </c>
      <c r="S29" s="38">
        <f>$S28-IF($F29="",0,$F29)</f>
        <v/>
      </c>
      <c r="T29" s="38">
        <f>$T28+$J29</f>
        <v/>
      </c>
    </row>
    <row r="30">
      <c r="A30" s="39">
        <f>IF($F30="","",COUNT($F$14:$F30))</f>
        <v/>
      </c>
      <c r="B30" s="8" t="n">
        <v>45716</v>
      </c>
      <c r="C30" s="6" t="inlineStr">
        <is>
          <t>RTGS</t>
        </is>
      </c>
      <c r="D30" s="6" t="inlineStr">
        <is>
          <t>Part repayment</t>
        </is>
      </c>
      <c r="E30" s="40" t="n"/>
      <c r="F30" s="36" t="n">
        <v>200000</v>
      </c>
      <c r="G30" s="41">
        <f>IF($B30="","",$S30)</f>
        <v/>
      </c>
      <c r="H30" s="42">
        <f>IF($I30&lt;=0,"",('Engine'!$B$8*MAX(0,MIN($O30,'Engine'!$B$3)-MAX($O29,'Engine'!$B$2))+'Engine'!$B$9*MAX(0,MIN($O30,'Engine'!$B$5)-MAX($O29,'Engine'!$B$4))+'Engine'!$B$10*MAX(0,MIN($O30,'Engine'!$B$7)-MAX($O29,'Engine'!$B$6)))/100/$H$8/$I30*$H$8*100)</f>
        <v/>
      </c>
      <c r="I30" s="43">
        <f>$O30-$O29</f>
        <v/>
      </c>
      <c r="J30" s="41">
        <f>IF($I30&lt;=0,0,$S29*('Engine'!$B$8*MAX(0,MIN($O30,'Engine'!$B$3)-MAX($O29,'Engine'!$B$2))+'Engine'!$B$9*MAX(0,MIN($O30,'Engine'!$B$5)-MAX($O29,'Engine'!$B$4))+'Engine'!$B$10*MAX(0,MIN($O30,'Engine'!$B$7)-MAX($O29,'Engine'!$B$6)))/100/$H$8)</f>
        <v/>
      </c>
      <c r="K30" s="41">
        <f>IF($B30="","",$T30)</f>
        <v/>
      </c>
      <c r="L30" s="36" t="n"/>
      <c r="M30" s="41">
        <f>IF($L30="","",ROUND($S30-$L30,2))</f>
        <v/>
      </c>
      <c r="N30" s="44">
        <f>IF(AND($H$10&lt;&gt;"",$O30&lt;=$H$10),"LOCKED","OPEN")</f>
        <v/>
      </c>
      <c r="O30" s="25">
        <f>IF($B30="",$O29,$B30)</f>
        <v/>
      </c>
      <c r="S30" s="38">
        <f>$S29-IF($F30="",0,$F30)</f>
        <v/>
      </c>
      <c r="T30" s="38">
        <f>$T29+$J30</f>
        <v/>
      </c>
    </row>
    <row r="31">
      <c r="A31" s="39">
        <f>IF($F31="","",COUNT($F$14:$F31))</f>
        <v/>
      </c>
      <c r="B31" s="8" t="n"/>
      <c r="C31" s="6" t="n"/>
      <c r="D31" s="6" t="n"/>
      <c r="E31" s="40" t="n"/>
      <c r="F31" s="36" t="n"/>
      <c r="G31" s="41">
        <f>IF($B31="","",$S31)</f>
        <v/>
      </c>
      <c r="H31" s="42">
        <f>IF($I31&lt;=0,"",('Engine'!$B$8*MAX(0,MIN($O31,'Engine'!$B$3)-MAX($O30,'Engine'!$B$2))+'Engine'!$B$9*MAX(0,MIN($O31,'Engine'!$B$5)-MAX($O30,'Engine'!$B$4))+'Engine'!$B$10*MAX(0,MIN($O31,'Engine'!$B$7)-MAX($O30,'Engine'!$B$6)))/100/$H$8/$I31*$H$8*100)</f>
        <v/>
      </c>
      <c r="I31" s="43">
        <f>$O31-$O30</f>
        <v/>
      </c>
      <c r="J31" s="41">
        <f>IF($I31&lt;=0,0,$S30*('Engine'!$B$8*MAX(0,MIN($O31,'Engine'!$B$3)-MAX($O30,'Engine'!$B$2))+'Engine'!$B$9*MAX(0,MIN($O31,'Engine'!$B$5)-MAX($O30,'Engine'!$B$4))+'Engine'!$B$10*MAX(0,MIN($O31,'Engine'!$B$7)-MAX($O30,'Engine'!$B$6)))/100/$H$8)</f>
        <v/>
      </c>
      <c r="K31" s="41">
        <f>IF($B31="","",$T31)</f>
        <v/>
      </c>
      <c r="L31" s="36" t="n"/>
      <c r="M31" s="41">
        <f>IF($L31="","",ROUND($S31-$L31,2))</f>
        <v/>
      </c>
      <c r="N31" s="44">
        <f>IF(AND($H$10&lt;&gt;"",$O31&lt;=$H$10),"LOCKED","OPEN")</f>
        <v/>
      </c>
      <c r="O31" s="25">
        <f>IF($B31="",$O30,$B31)</f>
        <v/>
      </c>
      <c r="S31" s="38">
        <f>$S30-IF($F31="",0,$F31)</f>
        <v/>
      </c>
      <c r="T31" s="38">
        <f>$T30+$J31</f>
        <v/>
      </c>
    </row>
    <row r="32">
      <c r="A32" s="39">
        <f>IF($F32="","",COUNT($F$14:$F32))</f>
        <v/>
      </c>
      <c r="B32" s="8" t="n"/>
      <c r="C32" s="6" t="n"/>
      <c r="D32" s="6" t="n"/>
      <c r="E32" s="40" t="n"/>
      <c r="F32" s="36" t="n"/>
      <c r="G32" s="41">
        <f>IF($B32="","",$S32)</f>
        <v/>
      </c>
      <c r="H32" s="42">
        <f>IF($I32&lt;=0,"",('Engine'!$B$8*MAX(0,MIN($O32,'Engine'!$B$3)-MAX($O31,'Engine'!$B$2))+'Engine'!$B$9*MAX(0,MIN($O32,'Engine'!$B$5)-MAX($O31,'Engine'!$B$4))+'Engine'!$B$10*MAX(0,MIN($O32,'Engine'!$B$7)-MAX($O31,'Engine'!$B$6)))/100/$H$8/$I32*$H$8*100)</f>
        <v/>
      </c>
      <c r="I32" s="43">
        <f>$O32-$O31</f>
        <v/>
      </c>
      <c r="J32" s="41">
        <f>IF($I32&lt;=0,0,$S31*('Engine'!$B$8*MAX(0,MIN($O32,'Engine'!$B$3)-MAX($O31,'Engine'!$B$2))+'Engine'!$B$9*MAX(0,MIN($O32,'Engine'!$B$5)-MAX($O31,'Engine'!$B$4))+'Engine'!$B$10*MAX(0,MIN($O32,'Engine'!$B$7)-MAX($O31,'Engine'!$B$6)))/100/$H$8)</f>
        <v/>
      </c>
      <c r="K32" s="41">
        <f>IF($B32="","",$T32)</f>
        <v/>
      </c>
      <c r="L32" s="36" t="n"/>
      <c r="M32" s="41">
        <f>IF($L32="","",ROUND($S32-$L32,2))</f>
        <v/>
      </c>
      <c r="N32" s="44">
        <f>IF(AND($H$10&lt;&gt;"",$O32&lt;=$H$10),"LOCKED","OPEN")</f>
        <v/>
      </c>
      <c r="O32" s="25">
        <f>IF($B32="",$O31,$B32)</f>
        <v/>
      </c>
      <c r="S32" s="38">
        <f>$S31-IF($F32="",0,$F32)</f>
        <v/>
      </c>
      <c r="T32" s="38">
        <f>$T31+$J32</f>
        <v/>
      </c>
    </row>
    <row r="33">
      <c r="A33" s="39">
        <f>IF($F33="","",COUNT($F$14:$F33))</f>
        <v/>
      </c>
      <c r="B33" s="8" t="n"/>
      <c r="C33" s="6" t="n"/>
      <c r="D33" s="6" t="n"/>
      <c r="E33" s="40" t="n"/>
      <c r="F33" s="36" t="n"/>
      <c r="G33" s="41">
        <f>IF($B33="","",$S33)</f>
        <v/>
      </c>
      <c r="H33" s="42">
        <f>IF($I33&lt;=0,"",('Engine'!$B$8*MAX(0,MIN($O33,'Engine'!$B$3)-MAX($O32,'Engine'!$B$2))+'Engine'!$B$9*MAX(0,MIN($O33,'Engine'!$B$5)-MAX($O32,'Engine'!$B$4))+'Engine'!$B$10*MAX(0,MIN($O33,'Engine'!$B$7)-MAX($O32,'Engine'!$B$6)))/100/$H$8/$I33*$H$8*100)</f>
        <v/>
      </c>
      <c r="I33" s="43">
        <f>$O33-$O32</f>
        <v/>
      </c>
      <c r="J33" s="41">
        <f>IF($I33&lt;=0,0,$S32*('Engine'!$B$8*MAX(0,MIN($O33,'Engine'!$B$3)-MAX($O32,'Engine'!$B$2))+'Engine'!$B$9*MAX(0,MIN($O33,'Engine'!$B$5)-MAX($O32,'Engine'!$B$4))+'Engine'!$B$10*MAX(0,MIN($O33,'Engine'!$B$7)-MAX($O32,'Engine'!$B$6)))/100/$H$8)</f>
        <v/>
      </c>
      <c r="K33" s="41">
        <f>IF($B33="","",$T33)</f>
        <v/>
      </c>
      <c r="L33" s="36" t="n"/>
      <c r="M33" s="41">
        <f>IF($L33="","",ROUND($S33-$L33,2))</f>
        <v/>
      </c>
      <c r="N33" s="44">
        <f>IF(AND($H$10&lt;&gt;"",$O33&lt;=$H$10),"LOCKED","OPEN")</f>
        <v/>
      </c>
      <c r="O33" s="25">
        <f>IF($B33="",$O32,$B33)</f>
        <v/>
      </c>
      <c r="S33" s="38">
        <f>$S32-IF($F33="",0,$F33)</f>
        <v/>
      </c>
      <c r="T33" s="38">
        <f>$T32+$J33</f>
        <v/>
      </c>
    </row>
    <row r="34">
      <c r="A34" s="39">
        <f>IF($F34="","",COUNT($F$14:$F34))</f>
        <v/>
      </c>
      <c r="B34" s="8" t="n"/>
      <c r="C34" s="6" t="n"/>
      <c r="D34" s="6" t="n"/>
      <c r="E34" s="40" t="n"/>
      <c r="F34" s="36" t="n"/>
      <c r="G34" s="41">
        <f>IF($B34="","",$S34)</f>
        <v/>
      </c>
      <c r="H34" s="42">
        <f>IF($I34&lt;=0,"",('Engine'!$B$8*MAX(0,MIN($O34,'Engine'!$B$3)-MAX($O33,'Engine'!$B$2))+'Engine'!$B$9*MAX(0,MIN($O34,'Engine'!$B$5)-MAX($O33,'Engine'!$B$4))+'Engine'!$B$10*MAX(0,MIN($O34,'Engine'!$B$7)-MAX($O33,'Engine'!$B$6)))/100/$H$8/$I34*$H$8*100)</f>
        <v/>
      </c>
      <c r="I34" s="43">
        <f>$O34-$O33</f>
        <v/>
      </c>
      <c r="J34" s="41">
        <f>IF($I34&lt;=0,0,$S33*('Engine'!$B$8*MAX(0,MIN($O34,'Engine'!$B$3)-MAX($O33,'Engine'!$B$2))+'Engine'!$B$9*MAX(0,MIN($O34,'Engine'!$B$5)-MAX($O33,'Engine'!$B$4))+'Engine'!$B$10*MAX(0,MIN($O34,'Engine'!$B$7)-MAX($O33,'Engine'!$B$6)))/100/$H$8)</f>
        <v/>
      </c>
      <c r="K34" s="41">
        <f>IF($B34="","",$T34)</f>
        <v/>
      </c>
      <c r="L34" s="36" t="n"/>
      <c r="M34" s="41">
        <f>IF($L34="","",ROUND($S34-$L34,2))</f>
        <v/>
      </c>
      <c r="N34" s="44">
        <f>IF(AND($H$10&lt;&gt;"",$O34&lt;=$H$10),"LOCKED","OPEN")</f>
        <v/>
      </c>
      <c r="O34" s="25">
        <f>IF($B34="",$O33,$B34)</f>
        <v/>
      </c>
      <c r="S34" s="38">
        <f>$S33-IF($F34="",0,$F34)</f>
        <v/>
      </c>
      <c r="T34" s="38">
        <f>$T33+$J34</f>
        <v/>
      </c>
    </row>
    <row r="35">
      <c r="A35" s="39">
        <f>IF($F35="","",COUNT($F$14:$F35))</f>
        <v/>
      </c>
      <c r="B35" s="8" t="n"/>
      <c r="C35" s="6" t="n"/>
      <c r="D35" s="6" t="n"/>
      <c r="E35" s="40" t="n"/>
      <c r="F35" s="36" t="n"/>
      <c r="G35" s="41">
        <f>IF($B35="","",$S35)</f>
        <v/>
      </c>
      <c r="H35" s="42">
        <f>IF($I35&lt;=0,"",('Engine'!$B$8*MAX(0,MIN($O35,'Engine'!$B$3)-MAX($O34,'Engine'!$B$2))+'Engine'!$B$9*MAX(0,MIN($O35,'Engine'!$B$5)-MAX($O34,'Engine'!$B$4))+'Engine'!$B$10*MAX(0,MIN($O35,'Engine'!$B$7)-MAX($O34,'Engine'!$B$6)))/100/$H$8/$I35*$H$8*100)</f>
        <v/>
      </c>
      <c r="I35" s="43">
        <f>$O35-$O34</f>
        <v/>
      </c>
      <c r="J35" s="41">
        <f>IF($I35&lt;=0,0,$S34*('Engine'!$B$8*MAX(0,MIN($O35,'Engine'!$B$3)-MAX($O34,'Engine'!$B$2))+'Engine'!$B$9*MAX(0,MIN($O35,'Engine'!$B$5)-MAX($O34,'Engine'!$B$4))+'Engine'!$B$10*MAX(0,MIN($O35,'Engine'!$B$7)-MAX($O34,'Engine'!$B$6)))/100/$H$8)</f>
        <v/>
      </c>
      <c r="K35" s="41">
        <f>IF($B35="","",$T35)</f>
        <v/>
      </c>
      <c r="L35" s="36" t="n"/>
      <c r="M35" s="41">
        <f>IF($L35="","",ROUND($S35-$L35,2))</f>
        <v/>
      </c>
      <c r="N35" s="44">
        <f>IF(AND($H$10&lt;&gt;"",$O35&lt;=$H$10),"LOCKED","OPEN")</f>
        <v/>
      </c>
      <c r="O35" s="25">
        <f>IF($B35="",$O34,$B35)</f>
        <v/>
      </c>
      <c r="S35" s="38">
        <f>$S34-IF($F35="",0,$F35)</f>
        <v/>
      </c>
      <c r="T35" s="38">
        <f>$T34+$J35</f>
        <v/>
      </c>
    </row>
    <row r="36">
      <c r="A36" s="39">
        <f>IF($F36="","",COUNT($F$14:$F36))</f>
        <v/>
      </c>
      <c r="B36" s="8" t="n"/>
      <c r="C36" s="6" t="n"/>
      <c r="D36" s="6" t="n"/>
      <c r="E36" s="40" t="n"/>
      <c r="F36" s="36" t="n"/>
      <c r="G36" s="41">
        <f>IF($B36="","",$S36)</f>
        <v/>
      </c>
      <c r="H36" s="42">
        <f>IF($I36&lt;=0,"",('Engine'!$B$8*MAX(0,MIN($O36,'Engine'!$B$3)-MAX($O35,'Engine'!$B$2))+'Engine'!$B$9*MAX(0,MIN($O36,'Engine'!$B$5)-MAX($O35,'Engine'!$B$4))+'Engine'!$B$10*MAX(0,MIN($O36,'Engine'!$B$7)-MAX($O35,'Engine'!$B$6)))/100/$H$8/$I36*$H$8*100)</f>
        <v/>
      </c>
      <c r="I36" s="43">
        <f>$O36-$O35</f>
        <v/>
      </c>
      <c r="J36" s="41">
        <f>IF($I36&lt;=0,0,$S35*('Engine'!$B$8*MAX(0,MIN($O36,'Engine'!$B$3)-MAX($O35,'Engine'!$B$2))+'Engine'!$B$9*MAX(0,MIN($O36,'Engine'!$B$5)-MAX($O35,'Engine'!$B$4))+'Engine'!$B$10*MAX(0,MIN($O36,'Engine'!$B$7)-MAX($O35,'Engine'!$B$6)))/100/$H$8)</f>
        <v/>
      </c>
      <c r="K36" s="41">
        <f>IF($B36="","",$T36)</f>
        <v/>
      </c>
      <c r="L36" s="36" t="n"/>
      <c r="M36" s="41">
        <f>IF($L36="","",ROUND($S36-$L36,2))</f>
        <v/>
      </c>
      <c r="N36" s="44">
        <f>IF(AND($H$10&lt;&gt;"",$O36&lt;=$H$10),"LOCKED","OPEN")</f>
        <v/>
      </c>
      <c r="O36" s="25">
        <f>IF($B36="",$O35,$B36)</f>
        <v/>
      </c>
      <c r="S36" s="38">
        <f>$S35-IF($F36="",0,$F36)</f>
        <v/>
      </c>
      <c r="T36" s="38">
        <f>$T35+$J36</f>
        <v/>
      </c>
    </row>
    <row r="37">
      <c r="A37" s="39">
        <f>IF($F37="","",COUNT($F$14:$F37))</f>
        <v/>
      </c>
      <c r="B37" s="8" t="n"/>
      <c r="C37" s="6" t="n"/>
      <c r="D37" s="6" t="n"/>
      <c r="E37" s="40" t="n"/>
      <c r="F37" s="36" t="n"/>
      <c r="G37" s="41">
        <f>IF($B37="","",$S37)</f>
        <v/>
      </c>
      <c r="H37" s="42">
        <f>IF($I37&lt;=0,"",('Engine'!$B$8*MAX(0,MIN($O37,'Engine'!$B$3)-MAX($O36,'Engine'!$B$2))+'Engine'!$B$9*MAX(0,MIN($O37,'Engine'!$B$5)-MAX($O36,'Engine'!$B$4))+'Engine'!$B$10*MAX(0,MIN($O37,'Engine'!$B$7)-MAX($O36,'Engine'!$B$6)))/100/$H$8/$I37*$H$8*100)</f>
        <v/>
      </c>
      <c r="I37" s="43">
        <f>$O37-$O36</f>
        <v/>
      </c>
      <c r="J37" s="41">
        <f>IF($I37&lt;=0,0,$S36*('Engine'!$B$8*MAX(0,MIN($O37,'Engine'!$B$3)-MAX($O36,'Engine'!$B$2))+'Engine'!$B$9*MAX(0,MIN($O37,'Engine'!$B$5)-MAX($O36,'Engine'!$B$4))+'Engine'!$B$10*MAX(0,MIN($O37,'Engine'!$B$7)-MAX($O36,'Engine'!$B$6)))/100/$H$8)</f>
        <v/>
      </c>
      <c r="K37" s="41">
        <f>IF($B37="","",$T37)</f>
        <v/>
      </c>
      <c r="L37" s="36" t="n"/>
      <c r="M37" s="41">
        <f>IF($L37="","",ROUND($S37-$L37,2))</f>
        <v/>
      </c>
      <c r="N37" s="44">
        <f>IF(AND($H$10&lt;&gt;"",$O37&lt;=$H$10),"LOCKED","OPEN")</f>
        <v/>
      </c>
      <c r="O37" s="25">
        <f>IF($B37="",$O36,$B37)</f>
        <v/>
      </c>
      <c r="S37" s="38">
        <f>$S36-IF($F37="",0,$F37)</f>
        <v/>
      </c>
      <c r="T37" s="38">
        <f>$T36+$J37</f>
        <v/>
      </c>
    </row>
    <row r="38">
      <c r="A38" s="39">
        <f>IF($F38="","",COUNT($F$14:$F38))</f>
        <v/>
      </c>
      <c r="B38" s="8" t="n"/>
      <c r="C38" s="6" t="n"/>
      <c r="D38" s="6" t="n"/>
      <c r="E38" s="40" t="n"/>
      <c r="F38" s="36" t="n"/>
      <c r="G38" s="41">
        <f>IF($B38="","",$S38)</f>
        <v/>
      </c>
      <c r="H38" s="42">
        <f>IF($I38&lt;=0,"",('Engine'!$B$8*MAX(0,MIN($O38,'Engine'!$B$3)-MAX($O37,'Engine'!$B$2))+'Engine'!$B$9*MAX(0,MIN($O38,'Engine'!$B$5)-MAX($O37,'Engine'!$B$4))+'Engine'!$B$10*MAX(0,MIN($O38,'Engine'!$B$7)-MAX($O37,'Engine'!$B$6)))/100/$H$8/$I38*$H$8*100)</f>
        <v/>
      </c>
      <c r="I38" s="43">
        <f>$O38-$O37</f>
        <v/>
      </c>
      <c r="J38" s="41">
        <f>IF($I38&lt;=0,0,$S37*('Engine'!$B$8*MAX(0,MIN($O38,'Engine'!$B$3)-MAX($O37,'Engine'!$B$2))+'Engine'!$B$9*MAX(0,MIN($O38,'Engine'!$B$5)-MAX($O37,'Engine'!$B$4))+'Engine'!$B$10*MAX(0,MIN($O38,'Engine'!$B$7)-MAX($O37,'Engine'!$B$6)))/100/$H$8)</f>
        <v/>
      </c>
      <c r="K38" s="41">
        <f>IF($B38="","",$T38)</f>
        <v/>
      </c>
      <c r="L38" s="36" t="n"/>
      <c r="M38" s="41">
        <f>IF($L38="","",ROUND($S38-$L38,2))</f>
        <v/>
      </c>
      <c r="N38" s="44">
        <f>IF(AND($H$10&lt;&gt;"",$O38&lt;=$H$10),"LOCKED","OPEN")</f>
        <v/>
      </c>
      <c r="O38" s="25">
        <f>IF($B38="",$O37,$B38)</f>
        <v/>
      </c>
      <c r="S38" s="38">
        <f>$S37-IF($F38="",0,$F38)</f>
        <v/>
      </c>
      <c r="T38" s="38">
        <f>$T37+$J38</f>
        <v/>
      </c>
    </row>
    <row r="39">
      <c r="A39" s="45" t="inlineStr">
        <is>
          <t>INT</t>
        </is>
      </c>
      <c r="B39" s="46">
        <f>$Q$27</f>
        <v/>
      </c>
      <c r="C39" s="47" t="n"/>
      <c r="D39" s="48">
        <f>"Interest for the quarter debited &amp; capitalised   ·   rate(s) applied :  "&amp;$R$27</f>
        <v/>
      </c>
      <c r="E39" s="49">
        <f>ROUND($T38+$J39,2)</f>
        <v/>
      </c>
      <c r="F39" s="50" t="n"/>
      <c r="G39" s="49">
        <f>$S39</f>
        <v/>
      </c>
      <c r="H39" s="51">
        <f>IF($I39&lt;=0,"",('Engine'!$B$8*MAX(0,MIN($O39,'Engine'!$B$3)-MAX($O38,'Engine'!$B$2))+'Engine'!$B$9*MAX(0,MIN($O39,'Engine'!$B$5)-MAX($O38,'Engine'!$B$4))+'Engine'!$B$10*MAX(0,MIN($O39,'Engine'!$B$7)-MAX($O38,'Engine'!$B$6)))/100/$H$8/$I39*$H$8*100)</f>
        <v/>
      </c>
      <c r="I39" s="52">
        <f>$O39-$O38</f>
        <v/>
      </c>
      <c r="J39" s="53">
        <f>IF($I39&lt;=0,0,$S38*('Engine'!$B$8*MAX(0,MIN($O39,'Engine'!$B$3)-MAX($O38,'Engine'!$B$2))+'Engine'!$B$9*MAX(0,MIN($O39,'Engine'!$B$5)-MAX($O38,'Engine'!$B$4))+'Engine'!$B$10*MAX(0,MIN($O39,'Engine'!$B$7)-MAX($O38,'Engine'!$B$6)))/100/$H$8)</f>
        <v/>
      </c>
      <c r="K39" s="53" t="n">
        <v>0</v>
      </c>
      <c r="L39" s="36" t="n">
        <v>4850255.14</v>
      </c>
      <c r="M39" s="53">
        <f>IF($L39="","",ROUND($S39-$L39,2))</f>
        <v/>
      </c>
      <c r="N39" s="54">
        <f>IF(AND($H$10&lt;&gt;"",$O39&lt;=$H$10),"LOCKED","OPEN")</f>
        <v/>
      </c>
      <c r="O39" s="25">
        <f>$Q$27</f>
        <v/>
      </c>
      <c r="S39" s="38">
        <f>$S38+$E39</f>
        <v/>
      </c>
      <c r="T39" s="38" t="n">
        <v>0</v>
      </c>
    </row>
    <row r="40" ht="18" customHeight="1">
      <c r="A40" s="24">
        <f>IF($P$40=0,"QUARTER 3          –  enter the Balance B/F date above to activate this quarter  –","QUARTER 3          "&amp;TEXT($P$40,"DD-MM-YYYY")&amp;"   to   "&amp;TEXT($Q$40,"DD-MM-YYYY")&amp;"          "&amp;IF(AND($H$10&lt;&gt;"",$Q$40&lt;=$H$10),"■ LOCKED – reconciled, no entry allowed","▷ OPEN for entry")&amp;"          RATE(S) APPLIED :  "&amp;$R$40)</f>
        <v/>
      </c>
      <c r="O40" s="25">
        <f>'Engine'!$E$4</f>
        <v/>
      </c>
      <c r="P40" s="25">
        <f>'Engine'!$E$4</f>
        <v/>
      </c>
      <c r="Q40" s="25">
        <f>'Engine'!$F$4</f>
        <v/>
      </c>
      <c r="R40" s="26">
        <f>'Engine'!$G$4</f>
        <v/>
      </c>
    </row>
    <row r="41">
      <c r="A41" s="27" t="inlineStr">
        <is>
          <t>B/F</t>
        </is>
      </c>
      <c r="B41" s="28">
        <f>$P$40</f>
        <v/>
      </c>
      <c r="C41" s="29" t="n"/>
      <c r="D41" s="30">
        <f>"Balance carried forward from quarter 2 – interest capitalised"</f>
        <v/>
      </c>
      <c r="E41" s="31" t="n"/>
      <c r="F41" s="31" t="n"/>
      <c r="G41" s="32">
        <f>$S$41</f>
        <v/>
      </c>
      <c r="H41" s="33" t="n"/>
      <c r="I41" s="34">
        <f>$O$41-$O$39</f>
        <v/>
      </c>
      <c r="J41" s="35" t="n">
        <v>0</v>
      </c>
      <c r="K41" s="35" t="n">
        <v>0</v>
      </c>
      <c r="L41" s="36" t="n"/>
      <c r="M41" s="35">
        <f>IF($L$41="","",ROUND($S$41-$L$41,2))</f>
        <v/>
      </c>
      <c r="N41" s="37">
        <f>IF(AND($H$10&lt;&gt;"",$O$41&lt;=$H$10),"LOCKED","OPEN")</f>
        <v/>
      </c>
      <c r="O41" s="25">
        <f>$P$40</f>
        <v/>
      </c>
      <c r="S41" s="38">
        <f>$S$39</f>
        <v/>
      </c>
      <c r="T41" s="38" t="n">
        <v>0</v>
      </c>
    </row>
    <row r="42">
      <c r="A42" s="39">
        <f>IF($F42="","",COUNT($F$14:$F42))</f>
        <v/>
      </c>
      <c r="B42" s="8" t="n">
        <v>45792</v>
      </c>
      <c r="C42" s="6" t="inlineStr">
        <is>
          <t>CHQ 123458</t>
        </is>
      </c>
      <c r="D42" s="6" t="inlineStr">
        <is>
          <t>Repayment by transfer</t>
        </is>
      </c>
      <c r="E42" s="40" t="n"/>
      <c r="F42" s="36" t="n">
        <v>400000</v>
      </c>
      <c r="G42" s="41">
        <f>IF($B42="","",$S42)</f>
        <v/>
      </c>
      <c r="H42" s="42">
        <f>IF($I42&lt;=0,"",('Engine'!$B$8*MAX(0,MIN($O42,'Engine'!$B$3)-MAX($O41,'Engine'!$B$2))+'Engine'!$B$9*MAX(0,MIN($O42,'Engine'!$B$5)-MAX($O41,'Engine'!$B$4))+'Engine'!$B$10*MAX(0,MIN($O42,'Engine'!$B$7)-MAX($O41,'Engine'!$B$6)))/100/$H$8/$I42*$H$8*100)</f>
        <v/>
      </c>
      <c r="I42" s="43">
        <f>$O42-$O41</f>
        <v/>
      </c>
      <c r="J42" s="41">
        <f>IF($I42&lt;=0,0,$S41*('Engine'!$B$8*MAX(0,MIN($O42,'Engine'!$B$3)-MAX($O41,'Engine'!$B$2))+'Engine'!$B$9*MAX(0,MIN($O42,'Engine'!$B$5)-MAX($O41,'Engine'!$B$4))+'Engine'!$B$10*MAX(0,MIN($O42,'Engine'!$B$7)-MAX($O41,'Engine'!$B$6)))/100/$H$8)</f>
        <v/>
      </c>
      <c r="K42" s="41">
        <f>IF($B42="","",$T42)</f>
        <v/>
      </c>
      <c r="L42" s="36" t="n"/>
      <c r="M42" s="41">
        <f>IF($L42="","",ROUND($S42-$L42,2))</f>
        <v/>
      </c>
      <c r="N42" s="44">
        <f>IF(AND($H$10&lt;&gt;"",$O42&lt;=$H$10),"LOCKED","OPEN")</f>
        <v/>
      </c>
      <c r="O42" s="25">
        <f>IF($B42="",$O41,$B42)</f>
        <v/>
      </c>
      <c r="S42" s="38">
        <f>$S41-IF($F42="",0,$F42)</f>
        <v/>
      </c>
      <c r="T42" s="38">
        <f>$T41+$J42</f>
        <v/>
      </c>
    </row>
    <row r="43">
      <c r="A43" s="39">
        <f>IF($F43="","",COUNT($F$14:$F43))</f>
        <v/>
      </c>
      <c r="B43" s="8" t="n"/>
      <c r="C43" s="6" t="n"/>
      <c r="D43" s="6" t="n"/>
      <c r="E43" s="40" t="n"/>
      <c r="F43" s="36" t="n"/>
      <c r="G43" s="41">
        <f>IF($B43="","",$S43)</f>
        <v/>
      </c>
      <c r="H43" s="42">
        <f>IF($I43&lt;=0,"",('Engine'!$B$8*MAX(0,MIN($O43,'Engine'!$B$3)-MAX($O42,'Engine'!$B$2))+'Engine'!$B$9*MAX(0,MIN($O43,'Engine'!$B$5)-MAX($O42,'Engine'!$B$4))+'Engine'!$B$10*MAX(0,MIN($O43,'Engine'!$B$7)-MAX($O42,'Engine'!$B$6)))/100/$H$8/$I43*$H$8*100)</f>
        <v/>
      </c>
      <c r="I43" s="43">
        <f>$O43-$O42</f>
        <v/>
      </c>
      <c r="J43" s="41">
        <f>IF($I43&lt;=0,0,$S42*('Engine'!$B$8*MAX(0,MIN($O43,'Engine'!$B$3)-MAX($O42,'Engine'!$B$2))+'Engine'!$B$9*MAX(0,MIN($O43,'Engine'!$B$5)-MAX($O42,'Engine'!$B$4))+'Engine'!$B$10*MAX(0,MIN($O43,'Engine'!$B$7)-MAX($O42,'Engine'!$B$6)))/100/$H$8)</f>
        <v/>
      </c>
      <c r="K43" s="41">
        <f>IF($B43="","",$T43)</f>
        <v/>
      </c>
      <c r="L43" s="36" t="n"/>
      <c r="M43" s="41">
        <f>IF($L43="","",ROUND($S43-$L43,2))</f>
        <v/>
      </c>
      <c r="N43" s="44">
        <f>IF(AND($H$10&lt;&gt;"",$O43&lt;=$H$10),"LOCKED","OPEN")</f>
        <v/>
      </c>
      <c r="O43" s="25">
        <f>IF($B43="",$O42,$B43)</f>
        <v/>
      </c>
      <c r="S43" s="38">
        <f>$S42-IF($F43="",0,$F43)</f>
        <v/>
      </c>
      <c r="T43" s="38">
        <f>$T42+$J43</f>
        <v/>
      </c>
    </row>
    <row r="44">
      <c r="A44" s="39">
        <f>IF($F44="","",COUNT($F$14:$F44))</f>
        <v/>
      </c>
      <c r="B44" s="8" t="n"/>
      <c r="C44" s="6" t="n"/>
      <c r="D44" s="6" t="n"/>
      <c r="E44" s="40" t="n"/>
      <c r="F44" s="36" t="n"/>
      <c r="G44" s="41">
        <f>IF($B44="","",$S44)</f>
        <v/>
      </c>
      <c r="H44" s="42">
        <f>IF($I44&lt;=0,"",('Engine'!$B$8*MAX(0,MIN($O44,'Engine'!$B$3)-MAX($O43,'Engine'!$B$2))+'Engine'!$B$9*MAX(0,MIN($O44,'Engine'!$B$5)-MAX($O43,'Engine'!$B$4))+'Engine'!$B$10*MAX(0,MIN($O44,'Engine'!$B$7)-MAX($O43,'Engine'!$B$6)))/100/$H$8/$I44*$H$8*100)</f>
        <v/>
      </c>
      <c r="I44" s="43">
        <f>$O44-$O43</f>
        <v/>
      </c>
      <c r="J44" s="41">
        <f>IF($I44&lt;=0,0,$S43*('Engine'!$B$8*MAX(0,MIN($O44,'Engine'!$B$3)-MAX($O43,'Engine'!$B$2))+'Engine'!$B$9*MAX(0,MIN($O44,'Engine'!$B$5)-MAX($O43,'Engine'!$B$4))+'Engine'!$B$10*MAX(0,MIN($O44,'Engine'!$B$7)-MAX($O43,'Engine'!$B$6)))/100/$H$8)</f>
        <v/>
      </c>
      <c r="K44" s="41">
        <f>IF($B44="","",$T44)</f>
        <v/>
      </c>
      <c r="L44" s="36" t="n"/>
      <c r="M44" s="41">
        <f>IF($L44="","",ROUND($S44-$L44,2))</f>
        <v/>
      </c>
      <c r="N44" s="44">
        <f>IF(AND($H$10&lt;&gt;"",$O44&lt;=$H$10),"LOCKED","OPEN")</f>
        <v/>
      </c>
      <c r="O44" s="25">
        <f>IF($B44="",$O43,$B44)</f>
        <v/>
      </c>
      <c r="S44" s="38">
        <f>$S43-IF($F44="",0,$F44)</f>
        <v/>
      </c>
      <c r="T44" s="38">
        <f>$T43+$J44</f>
        <v/>
      </c>
    </row>
    <row r="45">
      <c r="A45" s="39">
        <f>IF($F45="","",COUNT($F$14:$F45))</f>
        <v/>
      </c>
      <c r="B45" s="8" t="n"/>
      <c r="C45" s="6" t="n"/>
      <c r="D45" s="6" t="n"/>
      <c r="E45" s="40" t="n"/>
      <c r="F45" s="36" t="n"/>
      <c r="G45" s="41">
        <f>IF($B45="","",$S45)</f>
        <v/>
      </c>
      <c r="H45" s="42">
        <f>IF($I45&lt;=0,"",('Engine'!$B$8*MAX(0,MIN($O45,'Engine'!$B$3)-MAX($O44,'Engine'!$B$2))+'Engine'!$B$9*MAX(0,MIN($O45,'Engine'!$B$5)-MAX($O44,'Engine'!$B$4))+'Engine'!$B$10*MAX(0,MIN($O45,'Engine'!$B$7)-MAX($O44,'Engine'!$B$6)))/100/$H$8/$I45*$H$8*100)</f>
        <v/>
      </c>
      <c r="I45" s="43">
        <f>$O45-$O44</f>
        <v/>
      </c>
      <c r="J45" s="41">
        <f>IF($I45&lt;=0,0,$S44*('Engine'!$B$8*MAX(0,MIN($O45,'Engine'!$B$3)-MAX($O44,'Engine'!$B$2))+'Engine'!$B$9*MAX(0,MIN($O45,'Engine'!$B$5)-MAX($O44,'Engine'!$B$4))+'Engine'!$B$10*MAX(0,MIN($O45,'Engine'!$B$7)-MAX($O44,'Engine'!$B$6)))/100/$H$8)</f>
        <v/>
      </c>
      <c r="K45" s="41">
        <f>IF($B45="","",$T45)</f>
        <v/>
      </c>
      <c r="L45" s="36" t="n"/>
      <c r="M45" s="41">
        <f>IF($L45="","",ROUND($S45-$L45,2))</f>
        <v/>
      </c>
      <c r="N45" s="44">
        <f>IF(AND($H$10&lt;&gt;"",$O45&lt;=$H$10),"LOCKED","OPEN")</f>
        <v/>
      </c>
      <c r="O45" s="25">
        <f>IF($B45="",$O44,$B45)</f>
        <v/>
      </c>
      <c r="S45" s="38">
        <f>$S44-IF($F45="",0,$F45)</f>
        <v/>
      </c>
      <c r="T45" s="38">
        <f>$T44+$J45</f>
        <v/>
      </c>
    </row>
    <row r="46">
      <c r="A46" s="39">
        <f>IF($F46="","",COUNT($F$14:$F46))</f>
        <v/>
      </c>
      <c r="B46" s="8" t="n"/>
      <c r="C46" s="6" t="n"/>
      <c r="D46" s="6" t="n"/>
      <c r="E46" s="40" t="n"/>
      <c r="F46" s="36" t="n"/>
      <c r="G46" s="41">
        <f>IF($B46="","",$S46)</f>
        <v/>
      </c>
      <c r="H46" s="42">
        <f>IF($I46&lt;=0,"",('Engine'!$B$8*MAX(0,MIN($O46,'Engine'!$B$3)-MAX($O45,'Engine'!$B$2))+'Engine'!$B$9*MAX(0,MIN($O46,'Engine'!$B$5)-MAX($O45,'Engine'!$B$4))+'Engine'!$B$10*MAX(0,MIN($O46,'Engine'!$B$7)-MAX($O45,'Engine'!$B$6)))/100/$H$8/$I46*$H$8*100)</f>
        <v/>
      </c>
      <c r="I46" s="43">
        <f>$O46-$O45</f>
        <v/>
      </c>
      <c r="J46" s="41">
        <f>IF($I46&lt;=0,0,$S45*('Engine'!$B$8*MAX(0,MIN($O46,'Engine'!$B$3)-MAX($O45,'Engine'!$B$2))+'Engine'!$B$9*MAX(0,MIN($O46,'Engine'!$B$5)-MAX($O45,'Engine'!$B$4))+'Engine'!$B$10*MAX(0,MIN($O46,'Engine'!$B$7)-MAX($O45,'Engine'!$B$6)))/100/$H$8)</f>
        <v/>
      </c>
      <c r="K46" s="41">
        <f>IF($B46="","",$T46)</f>
        <v/>
      </c>
      <c r="L46" s="36" t="n"/>
      <c r="M46" s="41">
        <f>IF($L46="","",ROUND($S46-$L46,2))</f>
        <v/>
      </c>
      <c r="N46" s="44">
        <f>IF(AND($H$10&lt;&gt;"",$O46&lt;=$H$10),"LOCKED","OPEN")</f>
        <v/>
      </c>
      <c r="O46" s="25">
        <f>IF($B46="",$O45,$B46)</f>
        <v/>
      </c>
      <c r="S46" s="38">
        <f>$S45-IF($F46="",0,$F46)</f>
        <v/>
      </c>
      <c r="T46" s="38">
        <f>$T45+$J46</f>
        <v/>
      </c>
    </row>
    <row r="47">
      <c r="A47" s="39">
        <f>IF($F47="","",COUNT($F$14:$F47))</f>
        <v/>
      </c>
      <c r="B47" s="8" t="n"/>
      <c r="C47" s="6" t="n"/>
      <c r="D47" s="6" t="n"/>
      <c r="E47" s="40" t="n"/>
      <c r="F47" s="36" t="n"/>
      <c r="G47" s="41">
        <f>IF($B47="","",$S47)</f>
        <v/>
      </c>
      <c r="H47" s="42">
        <f>IF($I47&lt;=0,"",('Engine'!$B$8*MAX(0,MIN($O47,'Engine'!$B$3)-MAX($O46,'Engine'!$B$2))+'Engine'!$B$9*MAX(0,MIN($O47,'Engine'!$B$5)-MAX($O46,'Engine'!$B$4))+'Engine'!$B$10*MAX(0,MIN($O47,'Engine'!$B$7)-MAX($O46,'Engine'!$B$6)))/100/$H$8/$I47*$H$8*100)</f>
        <v/>
      </c>
      <c r="I47" s="43">
        <f>$O47-$O46</f>
        <v/>
      </c>
      <c r="J47" s="41">
        <f>IF($I47&lt;=0,0,$S46*('Engine'!$B$8*MAX(0,MIN($O47,'Engine'!$B$3)-MAX($O46,'Engine'!$B$2))+'Engine'!$B$9*MAX(0,MIN($O47,'Engine'!$B$5)-MAX($O46,'Engine'!$B$4))+'Engine'!$B$10*MAX(0,MIN($O47,'Engine'!$B$7)-MAX($O46,'Engine'!$B$6)))/100/$H$8)</f>
        <v/>
      </c>
      <c r="K47" s="41">
        <f>IF($B47="","",$T47)</f>
        <v/>
      </c>
      <c r="L47" s="36" t="n"/>
      <c r="M47" s="41">
        <f>IF($L47="","",ROUND($S47-$L47,2))</f>
        <v/>
      </c>
      <c r="N47" s="44">
        <f>IF(AND($H$10&lt;&gt;"",$O47&lt;=$H$10),"LOCKED","OPEN")</f>
        <v/>
      </c>
      <c r="O47" s="25">
        <f>IF($B47="",$O46,$B47)</f>
        <v/>
      </c>
      <c r="S47" s="38">
        <f>$S46-IF($F47="",0,$F47)</f>
        <v/>
      </c>
      <c r="T47" s="38">
        <f>$T46+$J47</f>
        <v/>
      </c>
    </row>
    <row r="48">
      <c r="A48" s="39">
        <f>IF($F48="","",COUNT($F$14:$F48))</f>
        <v/>
      </c>
      <c r="B48" s="8" t="n"/>
      <c r="C48" s="6" t="n"/>
      <c r="D48" s="6" t="n"/>
      <c r="E48" s="40" t="n"/>
      <c r="F48" s="36" t="n"/>
      <c r="G48" s="41">
        <f>IF($B48="","",$S48)</f>
        <v/>
      </c>
      <c r="H48" s="42">
        <f>IF($I48&lt;=0,"",('Engine'!$B$8*MAX(0,MIN($O48,'Engine'!$B$3)-MAX($O47,'Engine'!$B$2))+'Engine'!$B$9*MAX(0,MIN($O48,'Engine'!$B$5)-MAX($O47,'Engine'!$B$4))+'Engine'!$B$10*MAX(0,MIN($O48,'Engine'!$B$7)-MAX($O47,'Engine'!$B$6)))/100/$H$8/$I48*$H$8*100)</f>
        <v/>
      </c>
      <c r="I48" s="43">
        <f>$O48-$O47</f>
        <v/>
      </c>
      <c r="J48" s="41">
        <f>IF($I48&lt;=0,0,$S47*('Engine'!$B$8*MAX(0,MIN($O48,'Engine'!$B$3)-MAX($O47,'Engine'!$B$2))+'Engine'!$B$9*MAX(0,MIN($O48,'Engine'!$B$5)-MAX($O47,'Engine'!$B$4))+'Engine'!$B$10*MAX(0,MIN($O48,'Engine'!$B$7)-MAX($O47,'Engine'!$B$6)))/100/$H$8)</f>
        <v/>
      </c>
      <c r="K48" s="41">
        <f>IF($B48="","",$T48)</f>
        <v/>
      </c>
      <c r="L48" s="36" t="n"/>
      <c r="M48" s="41">
        <f>IF($L48="","",ROUND($S48-$L48,2))</f>
        <v/>
      </c>
      <c r="N48" s="44">
        <f>IF(AND($H$10&lt;&gt;"",$O48&lt;=$H$10),"LOCKED","OPEN")</f>
        <v/>
      </c>
      <c r="O48" s="25">
        <f>IF($B48="",$O47,$B48)</f>
        <v/>
      </c>
      <c r="S48" s="38">
        <f>$S47-IF($F48="",0,$F48)</f>
        <v/>
      </c>
      <c r="T48" s="38">
        <f>$T47+$J48</f>
        <v/>
      </c>
    </row>
    <row r="49">
      <c r="A49" s="39">
        <f>IF($F49="","",COUNT($F$14:$F49))</f>
        <v/>
      </c>
      <c r="B49" s="8" t="n"/>
      <c r="C49" s="6" t="n"/>
      <c r="D49" s="6" t="n"/>
      <c r="E49" s="40" t="n"/>
      <c r="F49" s="36" t="n"/>
      <c r="G49" s="41">
        <f>IF($B49="","",$S49)</f>
        <v/>
      </c>
      <c r="H49" s="42">
        <f>IF($I49&lt;=0,"",('Engine'!$B$8*MAX(0,MIN($O49,'Engine'!$B$3)-MAX($O48,'Engine'!$B$2))+'Engine'!$B$9*MAX(0,MIN($O49,'Engine'!$B$5)-MAX($O48,'Engine'!$B$4))+'Engine'!$B$10*MAX(0,MIN($O49,'Engine'!$B$7)-MAX($O48,'Engine'!$B$6)))/100/$H$8/$I49*$H$8*100)</f>
        <v/>
      </c>
      <c r="I49" s="43">
        <f>$O49-$O48</f>
        <v/>
      </c>
      <c r="J49" s="41">
        <f>IF($I49&lt;=0,0,$S48*('Engine'!$B$8*MAX(0,MIN($O49,'Engine'!$B$3)-MAX($O48,'Engine'!$B$2))+'Engine'!$B$9*MAX(0,MIN($O49,'Engine'!$B$5)-MAX($O48,'Engine'!$B$4))+'Engine'!$B$10*MAX(0,MIN($O49,'Engine'!$B$7)-MAX($O48,'Engine'!$B$6)))/100/$H$8)</f>
        <v/>
      </c>
      <c r="K49" s="41">
        <f>IF($B49="","",$T49)</f>
        <v/>
      </c>
      <c r="L49" s="36" t="n"/>
      <c r="M49" s="41">
        <f>IF($L49="","",ROUND($S49-$L49,2))</f>
        <v/>
      </c>
      <c r="N49" s="44">
        <f>IF(AND($H$10&lt;&gt;"",$O49&lt;=$H$10),"LOCKED","OPEN")</f>
        <v/>
      </c>
      <c r="O49" s="25">
        <f>IF($B49="",$O48,$B49)</f>
        <v/>
      </c>
      <c r="S49" s="38">
        <f>$S48-IF($F49="",0,$F49)</f>
        <v/>
      </c>
      <c r="T49" s="38">
        <f>$T48+$J49</f>
        <v/>
      </c>
    </row>
    <row r="50">
      <c r="A50" s="39">
        <f>IF($F50="","",COUNT($F$14:$F50))</f>
        <v/>
      </c>
      <c r="B50" s="8" t="n"/>
      <c r="C50" s="6" t="n"/>
      <c r="D50" s="6" t="n"/>
      <c r="E50" s="40" t="n"/>
      <c r="F50" s="36" t="n"/>
      <c r="G50" s="41">
        <f>IF($B50="","",$S50)</f>
        <v/>
      </c>
      <c r="H50" s="42">
        <f>IF($I50&lt;=0,"",('Engine'!$B$8*MAX(0,MIN($O50,'Engine'!$B$3)-MAX($O49,'Engine'!$B$2))+'Engine'!$B$9*MAX(0,MIN($O50,'Engine'!$B$5)-MAX($O49,'Engine'!$B$4))+'Engine'!$B$10*MAX(0,MIN($O50,'Engine'!$B$7)-MAX($O49,'Engine'!$B$6)))/100/$H$8/$I50*$H$8*100)</f>
        <v/>
      </c>
      <c r="I50" s="43">
        <f>$O50-$O49</f>
        <v/>
      </c>
      <c r="J50" s="41">
        <f>IF($I50&lt;=0,0,$S49*('Engine'!$B$8*MAX(0,MIN($O50,'Engine'!$B$3)-MAX($O49,'Engine'!$B$2))+'Engine'!$B$9*MAX(0,MIN($O50,'Engine'!$B$5)-MAX($O49,'Engine'!$B$4))+'Engine'!$B$10*MAX(0,MIN($O50,'Engine'!$B$7)-MAX($O49,'Engine'!$B$6)))/100/$H$8)</f>
        <v/>
      </c>
      <c r="K50" s="41">
        <f>IF($B50="","",$T50)</f>
        <v/>
      </c>
      <c r="L50" s="36" t="n"/>
      <c r="M50" s="41">
        <f>IF($L50="","",ROUND($S50-$L50,2))</f>
        <v/>
      </c>
      <c r="N50" s="44">
        <f>IF(AND($H$10&lt;&gt;"",$O50&lt;=$H$10),"LOCKED","OPEN")</f>
        <v/>
      </c>
      <c r="O50" s="25">
        <f>IF($B50="",$O49,$B50)</f>
        <v/>
      </c>
      <c r="S50" s="38">
        <f>$S49-IF($F50="",0,$F50)</f>
        <v/>
      </c>
      <c r="T50" s="38">
        <f>$T49+$J50</f>
        <v/>
      </c>
    </row>
    <row r="51">
      <c r="A51" s="39">
        <f>IF($F51="","",COUNT($F$14:$F51))</f>
        <v/>
      </c>
      <c r="B51" s="8" t="n"/>
      <c r="C51" s="6" t="n"/>
      <c r="D51" s="6" t="n"/>
      <c r="E51" s="40" t="n"/>
      <c r="F51" s="36" t="n"/>
      <c r="G51" s="41">
        <f>IF($B51="","",$S51)</f>
        <v/>
      </c>
      <c r="H51" s="42">
        <f>IF($I51&lt;=0,"",('Engine'!$B$8*MAX(0,MIN($O51,'Engine'!$B$3)-MAX($O50,'Engine'!$B$2))+'Engine'!$B$9*MAX(0,MIN($O51,'Engine'!$B$5)-MAX($O50,'Engine'!$B$4))+'Engine'!$B$10*MAX(0,MIN($O51,'Engine'!$B$7)-MAX($O50,'Engine'!$B$6)))/100/$H$8/$I51*$H$8*100)</f>
        <v/>
      </c>
      <c r="I51" s="43">
        <f>$O51-$O50</f>
        <v/>
      </c>
      <c r="J51" s="41">
        <f>IF($I51&lt;=0,0,$S50*('Engine'!$B$8*MAX(0,MIN($O51,'Engine'!$B$3)-MAX($O50,'Engine'!$B$2))+'Engine'!$B$9*MAX(0,MIN($O51,'Engine'!$B$5)-MAX($O50,'Engine'!$B$4))+'Engine'!$B$10*MAX(0,MIN($O51,'Engine'!$B$7)-MAX($O50,'Engine'!$B$6)))/100/$H$8)</f>
        <v/>
      </c>
      <c r="K51" s="41">
        <f>IF($B51="","",$T51)</f>
        <v/>
      </c>
      <c r="L51" s="36" t="n"/>
      <c r="M51" s="41">
        <f>IF($L51="","",ROUND($S51-$L51,2))</f>
        <v/>
      </c>
      <c r="N51" s="44">
        <f>IF(AND($H$10&lt;&gt;"",$O51&lt;=$H$10),"LOCKED","OPEN")</f>
        <v/>
      </c>
      <c r="O51" s="25">
        <f>IF($B51="",$O50,$B51)</f>
        <v/>
      </c>
      <c r="S51" s="38">
        <f>$S50-IF($F51="",0,$F51)</f>
        <v/>
      </c>
      <c r="T51" s="38">
        <f>$T50+$J51</f>
        <v/>
      </c>
    </row>
    <row r="52">
      <c r="A52" s="45" t="inlineStr">
        <is>
          <t>INT</t>
        </is>
      </c>
      <c r="B52" s="46">
        <f>$Q$40</f>
        <v/>
      </c>
      <c r="C52" s="47" t="n"/>
      <c r="D52" s="48">
        <f>"Interest for the quarter debited &amp; capitalised   ·   rate(s) applied :  "&amp;$R$40</f>
        <v/>
      </c>
      <c r="E52" s="49">
        <f>ROUND($T51+$J52,2)</f>
        <v/>
      </c>
      <c r="F52" s="50" t="n"/>
      <c r="G52" s="49">
        <f>$S52</f>
        <v/>
      </c>
      <c r="H52" s="51">
        <f>IF($I52&lt;=0,"",('Engine'!$B$8*MAX(0,MIN($O52,'Engine'!$B$3)-MAX($O51,'Engine'!$B$2))+'Engine'!$B$9*MAX(0,MIN($O52,'Engine'!$B$5)-MAX($O51,'Engine'!$B$4))+'Engine'!$B$10*MAX(0,MIN($O52,'Engine'!$B$7)-MAX($O51,'Engine'!$B$6)))/100/$H$8/$I52*$H$8*100)</f>
        <v/>
      </c>
      <c r="I52" s="52">
        <f>$O52-$O51</f>
        <v/>
      </c>
      <c r="J52" s="53">
        <f>IF($I52&lt;=0,0,$S51*('Engine'!$B$8*MAX(0,MIN($O52,'Engine'!$B$3)-MAX($O51,'Engine'!$B$2))+'Engine'!$B$9*MAX(0,MIN($O52,'Engine'!$B$5)-MAX($O51,'Engine'!$B$4))+'Engine'!$B$10*MAX(0,MIN($O52,'Engine'!$B$7)-MAX($O51,'Engine'!$B$6)))/100/$H$8)</f>
        <v/>
      </c>
      <c r="K52" s="53" t="n">
        <v>0</v>
      </c>
      <c r="L52" s="36" t="n"/>
      <c r="M52" s="53">
        <f>IF($L52="","",ROUND($S52-$L52,2))</f>
        <v/>
      </c>
      <c r="N52" s="54">
        <f>IF(AND($H$10&lt;&gt;"",$O52&lt;=$H$10),"LOCKED","OPEN")</f>
        <v/>
      </c>
      <c r="O52" s="25">
        <f>$Q$40</f>
        <v/>
      </c>
      <c r="S52" s="38">
        <f>$S51+$E52</f>
        <v/>
      </c>
      <c r="T52" s="38" t="n">
        <v>0</v>
      </c>
    </row>
    <row r="53" ht="18" customHeight="1">
      <c r="A53" s="24">
        <f>IF($P$53=0,"QUARTER 4          –  enter the Balance B/F date above to activate this quarter  –","QUARTER 4          "&amp;TEXT($P$53,"DD-MM-YYYY")&amp;"   to   "&amp;TEXT($Q$53,"DD-MM-YYYY")&amp;"          "&amp;IF(AND($H$10&lt;&gt;"",$Q$53&lt;=$H$10),"■ LOCKED – reconciled, no entry allowed","▷ OPEN for entry")&amp;"          RATE(S) APPLIED :  "&amp;$R$53)</f>
        <v/>
      </c>
      <c r="O53" s="25">
        <f>'Engine'!$E$5</f>
        <v/>
      </c>
      <c r="P53" s="25">
        <f>'Engine'!$E$5</f>
        <v/>
      </c>
      <c r="Q53" s="25">
        <f>'Engine'!$F$5</f>
        <v/>
      </c>
      <c r="R53" s="26">
        <f>'Engine'!$G$5</f>
        <v/>
      </c>
    </row>
    <row r="54">
      <c r="A54" s="27" t="inlineStr">
        <is>
          <t>B/F</t>
        </is>
      </c>
      <c r="B54" s="28">
        <f>$P$53</f>
        <v/>
      </c>
      <c r="C54" s="29" t="n"/>
      <c r="D54" s="30">
        <f>"Balance carried forward from quarter 3 – interest capitalised"</f>
        <v/>
      </c>
      <c r="E54" s="31" t="n"/>
      <c r="F54" s="31" t="n"/>
      <c r="G54" s="32">
        <f>$S$54</f>
        <v/>
      </c>
      <c r="H54" s="33" t="n"/>
      <c r="I54" s="34">
        <f>$O$54-$O$52</f>
        <v/>
      </c>
      <c r="J54" s="35" t="n">
        <v>0</v>
      </c>
      <c r="K54" s="35" t="n">
        <v>0</v>
      </c>
      <c r="L54" s="36" t="n"/>
      <c r="M54" s="35">
        <f>IF($L$54="","",ROUND($S$54-$L$54,2))</f>
        <v/>
      </c>
      <c r="N54" s="37">
        <f>IF(AND($H$10&lt;&gt;"",$O$54&lt;=$H$10),"LOCKED","OPEN")</f>
        <v/>
      </c>
      <c r="O54" s="25">
        <f>$P$53</f>
        <v/>
      </c>
      <c r="S54" s="38">
        <f>$S$52</f>
        <v/>
      </c>
      <c r="T54" s="38" t="n">
        <v>0</v>
      </c>
    </row>
    <row r="55">
      <c r="A55" s="39">
        <f>IF($F55="","",COUNT($F$14:$F55))</f>
        <v/>
      </c>
      <c r="B55" s="8" t="n">
        <v>45879</v>
      </c>
      <c r="C55" s="6" t="inlineStr">
        <is>
          <t>RTGS</t>
        </is>
      </c>
      <c r="D55" s="6" t="inlineStr">
        <is>
          <t>Part repayment (rate revised 01-07-2025)</t>
        </is>
      </c>
      <c r="E55" s="40" t="n"/>
      <c r="F55" s="36" t="n">
        <v>250000</v>
      </c>
      <c r="G55" s="41">
        <f>IF($B55="","",$S55)</f>
        <v/>
      </c>
      <c r="H55" s="42">
        <f>IF($I55&lt;=0,"",('Engine'!$B$8*MAX(0,MIN($O55,'Engine'!$B$3)-MAX($O54,'Engine'!$B$2))+'Engine'!$B$9*MAX(0,MIN($O55,'Engine'!$B$5)-MAX($O54,'Engine'!$B$4))+'Engine'!$B$10*MAX(0,MIN($O55,'Engine'!$B$7)-MAX($O54,'Engine'!$B$6)))/100/$H$8/$I55*$H$8*100)</f>
        <v/>
      </c>
      <c r="I55" s="43">
        <f>$O55-$O54</f>
        <v/>
      </c>
      <c r="J55" s="41">
        <f>IF($I55&lt;=0,0,$S54*('Engine'!$B$8*MAX(0,MIN($O55,'Engine'!$B$3)-MAX($O54,'Engine'!$B$2))+'Engine'!$B$9*MAX(0,MIN($O55,'Engine'!$B$5)-MAX($O54,'Engine'!$B$4))+'Engine'!$B$10*MAX(0,MIN($O55,'Engine'!$B$7)-MAX($O54,'Engine'!$B$6)))/100/$H$8)</f>
        <v/>
      </c>
      <c r="K55" s="41">
        <f>IF($B55="","",$T55)</f>
        <v/>
      </c>
      <c r="L55" s="36" t="n"/>
      <c r="M55" s="41">
        <f>IF($L55="","",ROUND($S55-$L55,2))</f>
        <v/>
      </c>
      <c r="N55" s="44">
        <f>IF(AND($H$10&lt;&gt;"",$O55&lt;=$H$10),"LOCKED","OPEN")</f>
        <v/>
      </c>
      <c r="O55" s="25">
        <f>IF($B55="",$O54,$B55)</f>
        <v/>
      </c>
      <c r="S55" s="38">
        <f>$S54-IF($F55="",0,$F55)</f>
        <v/>
      </c>
      <c r="T55" s="38">
        <f>$T54+$J55</f>
        <v/>
      </c>
    </row>
    <row r="56">
      <c r="A56" s="39">
        <f>IF($F56="","",COUNT($F$14:$F56))</f>
        <v/>
      </c>
      <c r="B56" s="8" t="n"/>
      <c r="C56" s="6" t="n"/>
      <c r="D56" s="6" t="n"/>
      <c r="E56" s="40" t="n"/>
      <c r="F56" s="36" t="n"/>
      <c r="G56" s="41">
        <f>IF($B56="","",$S56)</f>
        <v/>
      </c>
      <c r="H56" s="42">
        <f>IF($I56&lt;=0,"",('Engine'!$B$8*MAX(0,MIN($O56,'Engine'!$B$3)-MAX($O55,'Engine'!$B$2))+'Engine'!$B$9*MAX(0,MIN($O56,'Engine'!$B$5)-MAX($O55,'Engine'!$B$4))+'Engine'!$B$10*MAX(0,MIN($O56,'Engine'!$B$7)-MAX($O55,'Engine'!$B$6)))/100/$H$8/$I56*$H$8*100)</f>
        <v/>
      </c>
      <c r="I56" s="43">
        <f>$O56-$O55</f>
        <v/>
      </c>
      <c r="J56" s="41">
        <f>IF($I56&lt;=0,0,$S55*('Engine'!$B$8*MAX(0,MIN($O56,'Engine'!$B$3)-MAX($O55,'Engine'!$B$2))+'Engine'!$B$9*MAX(0,MIN($O56,'Engine'!$B$5)-MAX($O55,'Engine'!$B$4))+'Engine'!$B$10*MAX(0,MIN($O56,'Engine'!$B$7)-MAX($O55,'Engine'!$B$6)))/100/$H$8)</f>
        <v/>
      </c>
      <c r="K56" s="41">
        <f>IF($B56="","",$T56)</f>
        <v/>
      </c>
      <c r="L56" s="36" t="n"/>
      <c r="M56" s="41">
        <f>IF($L56="","",ROUND($S56-$L56,2))</f>
        <v/>
      </c>
      <c r="N56" s="44">
        <f>IF(AND($H$10&lt;&gt;"",$O56&lt;=$H$10),"LOCKED","OPEN")</f>
        <v/>
      </c>
      <c r="O56" s="25">
        <f>IF($B56="",$O55,$B56)</f>
        <v/>
      </c>
      <c r="S56" s="38">
        <f>$S55-IF($F56="",0,$F56)</f>
        <v/>
      </c>
      <c r="T56" s="38">
        <f>$T55+$J56</f>
        <v/>
      </c>
    </row>
    <row r="57">
      <c r="A57" s="39">
        <f>IF($F57="","",COUNT($F$14:$F57))</f>
        <v/>
      </c>
      <c r="B57" s="8" t="n"/>
      <c r="C57" s="6" t="n"/>
      <c r="D57" s="6" t="n"/>
      <c r="E57" s="40" t="n"/>
      <c r="F57" s="36" t="n"/>
      <c r="G57" s="41">
        <f>IF($B57="","",$S57)</f>
        <v/>
      </c>
      <c r="H57" s="42">
        <f>IF($I57&lt;=0,"",('Engine'!$B$8*MAX(0,MIN($O57,'Engine'!$B$3)-MAX($O56,'Engine'!$B$2))+'Engine'!$B$9*MAX(0,MIN($O57,'Engine'!$B$5)-MAX($O56,'Engine'!$B$4))+'Engine'!$B$10*MAX(0,MIN($O57,'Engine'!$B$7)-MAX($O56,'Engine'!$B$6)))/100/$H$8/$I57*$H$8*100)</f>
        <v/>
      </c>
      <c r="I57" s="43">
        <f>$O57-$O56</f>
        <v/>
      </c>
      <c r="J57" s="41">
        <f>IF($I57&lt;=0,0,$S56*('Engine'!$B$8*MAX(0,MIN($O57,'Engine'!$B$3)-MAX($O56,'Engine'!$B$2))+'Engine'!$B$9*MAX(0,MIN($O57,'Engine'!$B$5)-MAX($O56,'Engine'!$B$4))+'Engine'!$B$10*MAX(0,MIN($O57,'Engine'!$B$7)-MAX($O56,'Engine'!$B$6)))/100/$H$8)</f>
        <v/>
      </c>
      <c r="K57" s="41">
        <f>IF($B57="","",$T57)</f>
        <v/>
      </c>
      <c r="L57" s="36" t="n"/>
      <c r="M57" s="41">
        <f>IF($L57="","",ROUND($S57-$L57,2))</f>
        <v/>
      </c>
      <c r="N57" s="44">
        <f>IF(AND($H$10&lt;&gt;"",$O57&lt;=$H$10),"LOCKED","OPEN")</f>
        <v/>
      </c>
      <c r="O57" s="25">
        <f>IF($B57="",$O56,$B57)</f>
        <v/>
      </c>
      <c r="S57" s="38">
        <f>$S56-IF($F57="",0,$F57)</f>
        <v/>
      </c>
      <c r="T57" s="38">
        <f>$T56+$J57</f>
        <v/>
      </c>
    </row>
    <row r="58">
      <c r="A58" s="39">
        <f>IF($F58="","",COUNT($F$14:$F58))</f>
        <v/>
      </c>
      <c r="B58" s="8" t="n"/>
      <c r="C58" s="6" t="n"/>
      <c r="D58" s="6" t="n"/>
      <c r="E58" s="40" t="n"/>
      <c r="F58" s="36" t="n"/>
      <c r="G58" s="41">
        <f>IF($B58="","",$S58)</f>
        <v/>
      </c>
      <c r="H58" s="42">
        <f>IF($I58&lt;=0,"",('Engine'!$B$8*MAX(0,MIN($O58,'Engine'!$B$3)-MAX($O57,'Engine'!$B$2))+'Engine'!$B$9*MAX(0,MIN($O58,'Engine'!$B$5)-MAX($O57,'Engine'!$B$4))+'Engine'!$B$10*MAX(0,MIN($O58,'Engine'!$B$7)-MAX($O57,'Engine'!$B$6)))/100/$H$8/$I58*$H$8*100)</f>
        <v/>
      </c>
      <c r="I58" s="43">
        <f>$O58-$O57</f>
        <v/>
      </c>
      <c r="J58" s="41">
        <f>IF($I58&lt;=0,0,$S57*('Engine'!$B$8*MAX(0,MIN($O58,'Engine'!$B$3)-MAX($O57,'Engine'!$B$2))+'Engine'!$B$9*MAX(0,MIN($O58,'Engine'!$B$5)-MAX($O57,'Engine'!$B$4))+'Engine'!$B$10*MAX(0,MIN($O58,'Engine'!$B$7)-MAX($O57,'Engine'!$B$6)))/100/$H$8)</f>
        <v/>
      </c>
      <c r="K58" s="41">
        <f>IF($B58="","",$T58)</f>
        <v/>
      </c>
      <c r="L58" s="36" t="n"/>
      <c r="M58" s="41">
        <f>IF($L58="","",ROUND($S58-$L58,2))</f>
        <v/>
      </c>
      <c r="N58" s="44">
        <f>IF(AND($H$10&lt;&gt;"",$O58&lt;=$H$10),"LOCKED","OPEN")</f>
        <v/>
      </c>
      <c r="O58" s="25">
        <f>IF($B58="",$O57,$B58)</f>
        <v/>
      </c>
      <c r="S58" s="38">
        <f>$S57-IF($F58="",0,$F58)</f>
        <v/>
      </c>
      <c r="T58" s="38">
        <f>$T57+$J58</f>
        <v/>
      </c>
    </row>
    <row r="59">
      <c r="A59" s="39">
        <f>IF($F59="","",COUNT($F$14:$F59))</f>
        <v/>
      </c>
      <c r="B59" s="8" t="n"/>
      <c r="C59" s="6" t="n"/>
      <c r="D59" s="6" t="n"/>
      <c r="E59" s="40" t="n"/>
      <c r="F59" s="36" t="n"/>
      <c r="G59" s="41">
        <f>IF($B59="","",$S59)</f>
        <v/>
      </c>
      <c r="H59" s="42">
        <f>IF($I59&lt;=0,"",('Engine'!$B$8*MAX(0,MIN($O59,'Engine'!$B$3)-MAX($O58,'Engine'!$B$2))+'Engine'!$B$9*MAX(0,MIN($O59,'Engine'!$B$5)-MAX($O58,'Engine'!$B$4))+'Engine'!$B$10*MAX(0,MIN($O59,'Engine'!$B$7)-MAX($O58,'Engine'!$B$6)))/100/$H$8/$I59*$H$8*100)</f>
        <v/>
      </c>
      <c r="I59" s="43">
        <f>$O59-$O58</f>
        <v/>
      </c>
      <c r="J59" s="41">
        <f>IF($I59&lt;=0,0,$S58*('Engine'!$B$8*MAX(0,MIN($O59,'Engine'!$B$3)-MAX($O58,'Engine'!$B$2))+'Engine'!$B$9*MAX(0,MIN($O59,'Engine'!$B$5)-MAX($O58,'Engine'!$B$4))+'Engine'!$B$10*MAX(0,MIN($O59,'Engine'!$B$7)-MAX($O58,'Engine'!$B$6)))/100/$H$8)</f>
        <v/>
      </c>
      <c r="K59" s="41">
        <f>IF($B59="","",$T59)</f>
        <v/>
      </c>
      <c r="L59" s="36" t="n"/>
      <c r="M59" s="41">
        <f>IF($L59="","",ROUND($S59-$L59,2))</f>
        <v/>
      </c>
      <c r="N59" s="44">
        <f>IF(AND($H$10&lt;&gt;"",$O59&lt;=$H$10),"LOCKED","OPEN")</f>
        <v/>
      </c>
      <c r="O59" s="25">
        <f>IF($B59="",$O58,$B59)</f>
        <v/>
      </c>
      <c r="S59" s="38">
        <f>$S58-IF($F59="",0,$F59)</f>
        <v/>
      </c>
      <c r="T59" s="38">
        <f>$T58+$J59</f>
        <v/>
      </c>
    </row>
    <row r="60">
      <c r="A60" s="39">
        <f>IF($F60="","",COUNT($F$14:$F60))</f>
        <v/>
      </c>
      <c r="B60" s="8" t="n"/>
      <c r="C60" s="6" t="n"/>
      <c r="D60" s="6" t="n"/>
      <c r="E60" s="40" t="n"/>
      <c r="F60" s="36" t="n"/>
      <c r="G60" s="41">
        <f>IF($B60="","",$S60)</f>
        <v/>
      </c>
      <c r="H60" s="42">
        <f>IF($I60&lt;=0,"",('Engine'!$B$8*MAX(0,MIN($O60,'Engine'!$B$3)-MAX($O59,'Engine'!$B$2))+'Engine'!$B$9*MAX(0,MIN($O60,'Engine'!$B$5)-MAX($O59,'Engine'!$B$4))+'Engine'!$B$10*MAX(0,MIN($O60,'Engine'!$B$7)-MAX($O59,'Engine'!$B$6)))/100/$H$8/$I60*$H$8*100)</f>
        <v/>
      </c>
      <c r="I60" s="43">
        <f>$O60-$O59</f>
        <v/>
      </c>
      <c r="J60" s="41">
        <f>IF($I60&lt;=0,0,$S59*('Engine'!$B$8*MAX(0,MIN($O60,'Engine'!$B$3)-MAX($O59,'Engine'!$B$2))+'Engine'!$B$9*MAX(0,MIN($O60,'Engine'!$B$5)-MAX($O59,'Engine'!$B$4))+'Engine'!$B$10*MAX(0,MIN($O60,'Engine'!$B$7)-MAX($O59,'Engine'!$B$6)))/100/$H$8)</f>
        <v/>
      </c>
      <c r="K60" s="41">
        <f>IF($B60="","",$T60)</f>
        <v/>
      </c>
      <c r="L60" s="36" t="n"/>
      <c r="M60" s="41">
        <f>IF($L60="","",ROUND($S60-$L60,2))</f>
        <v/>
      </c>
      <c r="N60" s="44">
        <f>IF(AND($H$10&lt;&gt;"",$O60&lt;=$H$10),"LOCKED","OPEN")</f>
        <v/>
      </c>
      <c r="O60" s="25">
        <f>IF($B60="",$O59,$B60)</f>
        <v/>
      </c>
      <c r="S60" s="38">
        <f>$S59-IF($F60="",0,$F60)</f>
        <v/>
      </c>
      <c r="T60" s="38">
        <f>$T59+$J60</f>
        <v/>
      </c>
    </row>
    <row r="61">
      <c r="A61" s="39">
        <f>IF($F61="","",COUNT($F$14:$F61))</f>
        <v/>
      </c>
      <c r="B61" s="8" t="n"/>
      <c r="C61" s="6" t="n"/>
      <c r="D61" s="6" t="n"/>
      <c r="E61" s="40" t="n"/>
      <c r="F61" s="36" t="n"/>
      <c r="G61" s="41">
        <f>IF($B61="","",$S61)</f>
        <v/>
      </c>
      <c r="H61" s="42">
        <f>IF($I61&lt;=0,"",('Engine'!$B$8*MAX(0,MIN($O61,'Engine'!$B$3)-MAX($O60,'Engine'!$B$2))+'Engine'!$B$9*MAX(0,MIN($O61,'Engine'!$B$5)-MAX($O60,'Engine'!$B$4))+'Engine'!$B$10*MAX(0,MIN($O61,'Engine'!$B$7)-MAX($O60,'Engine'!$B$6)))/100/$H$8/$I61*$H$8*100)</f>
        <v/>
      </c>
      <c r="I61" s="43">
        <f>$O61-$O60</f>
        <v/>
      </c>
      <c r="J61" s="41">
        <f>IF($I61&lt;=0,0,$S60*('Engine'!$B$8*MAX(0,MIN($O61,'Engine'!$B$3)-MAX($O60,'Engine'!$B$2))+'Engine'!$B$9*MAX(0,MIN($O61,'Engine'!$B$5)-MAX($O60,'Engine'!$B$4))+'Engine'!$B$10*MAX(0,MIN($O61,'Engine'!$B$7)-MAX($O60,'Engine'!$B$6)))/100/$H$8)</f>
        <v/>
      </c>
      <c r="K61" s="41">
        <f>IF($B61="","",$T61)</f>
        <v/>
      </c>
      <c r="L61" s="36" t="n"/>
      <c r="M61" s="41">
        <f>IF($L61="","",ROUND($S61-$L61,2))</f>
        <v/>
      </c>
      <c r="N61" s="44">
        <f>IF(AND($H$10&lt;&gt;"",$O61&lt;=$H$10),"LOCKED","OPEN")</f>
        <v/>
      </c>
      <c r="O61" s="25">
        <f>IF($B61="",$O60,$B61)</f>
        <v/>
      </c>
      <c r="S61" s="38">
        <f>$S60-IF($F61="",0,$F61)</f>
        <v/>
      </c>
      <c r="T61" s="38">
        <f>$T60+$J61</f>
        <v/>
      </c>
    </row>
    <row r="62">
      <c r="A62" s="39">
        <f>IF($F62="","",COUNT($F$14:$F62))</f>
        <v/>
      </c>
      <c r="B62" s="8" t="n"/>
      <c r="C62" s="6" t="n"/>
      <c r="D62" s="6" t="n"/>
      <c r="E62" s="40" t="n"/>
      <c r="F62" s="36" t="n"/>
      <c r="G62" s="41">
        <f>IF($B62="","",$S62)</f>
        <v/>
      </c>
      <c r="H62" s="42">
        <f>IF($I62&lt;=0,"",('Engine'!$B$8*MAX(0,MIN($O62,'Engine'!$B$3)-MAX($O61,'Engine'!$B$2))+'Engine'!$B$9*MAX(0,MIN($O62,'Engine'!$B$5)-MAX($O61,'Engine'!$B$4))+'Engine'!$B$10*MAX(0,MIN($O62,'Engine'!$B$7)-MAX($O61,'Engine'!$B$6)))/100/$H$8/$I62*$H$8*100)</f>
        <v/>
      </c>
      <c r="I62" s="43">
        <f>$O62-$O61</f>
        <v/>
      </c>
      <c r="J62" s="41">
        <f>IF($I62&lt;=0,0,$S61*('Engine'!$B$8*MAX(0,MIN($O62,'Engine'!$B$3)-MAX($O61,'Engine'!$B$2))+'Engine'!$B$9*MAX(0,MIN($O62,'Engine'!$B$5)-MAX($O61,'Engine'!$B$4))+'Engine'!$B$10*MAX(0,MIN($O62,'Engine'!$B$7)-MAX($O61,'Engine'!$B$6)))/100/$H$8)</f>
        <v/>
      </c>
      <c r="K62" s="41">
        <f>IF($B62="","",$T62)</f>
        <v/>
      </c>
      <c r="L62" s="36" t="n"/>
      <c r="M62" s="41">
        <f>IF($L62="","",ROUND($S62-$L62,2))</f>
        <v/>
      </c>
      <c r="N62" s="44">
        <f>IF(AND($H$10&lt;&gt;"",$O62&lt;=$H$10),"LOCKED","OPEN")</f>
        <v/>
      </c>
      <c r="O62" s="25">
        <f>IF($B62="",$O61,$B62)</f>
        <v/>
      </c>
      <c r="S62" s="38">
        <f>$S61-IF($F62="",0,$F62)</f>
        <v/>
      </c>
      <c r="T62" s="38">
        <f>$T61+$J62</f>
        <v/>
      </c>
    </row>
    <row r="63">
      <c r="A63" s="39">
        <f>IF($F63="","",COUNT($F$14:$F63))</f>
        <v/>
      </c>
      <c r="B63" s="8" t="n"/>
      <c r="C63" s="6" t="n"/>
      <c r="D63" s="6" t="n"/>
      <c r="E63" s="40" t="n"/>
      <c r="F63" s="36" t="n"/>
      <c r="G63" s="41">
        <f>IF($B63="","",$S63)</f>
        <v/>
      </c>
      <c r="H63" s="42">
        <f>IF($I63&lt;=0,"",('Engine'!$B$8*MAX(0,MIN($O63,'Engine'!$B$3)-MAX($O62,'Engine'!$B$2))+'Engine'!$B$9*MAX(0,MIN($O63,'Engine'!$B$5)-MAX($O62,'Engine'!$B$4))+'Engine'!$B$10*MAX(0,MIN($O63,'Engine'!$B$7)-MAX($O62,'Engine'!$B$6)))/100/$H$8/$I63*$H$8*100)</f>
        <v/>
      </c>
      <c r="I63" s="43">
        <f>$O63-$O62</f>
        <v/>
      </c>
      <c r="J63" s="41">
        <f>IF($I63&lt;=0,0,$S62*('Engine'!$B$8*MAX(0,MIN($O63,'Engine'!$B$3)-MAX($O62,'Engine'!$B$2))+'Engine'!$B$9*MAX(0,MIN($O63,'Engine'!$B$5)-MAX($O62,'Engine'!$B$4))+'Engine'!$B$10*MAX(0,MIN($O63,'Engine'!$B$7)-MAX($O62,'Engine'!$B$6)))/100/$H$8)</f>
        <v/>
      </c>
      <c r="K63" s="41">
        <f>IF($B63="","",$T63)</f>
        <v/>
      </c>
      <c r="L63" s="36" t="n"/>
      <c r="M63" s="41">
        <f>IF($L63="","",ROUND($S63-$L63,2))</f>
        <v/>
      </c>
      <c r="N63" s="44">
        <f>IF(AND($H$10&lt;&gt;"",$O63&lt;=$H$10),"LOCKED","OPEN")</f>
        <v/>
      </c>
      <c r="O63" s="25">
        <f>IF($B63="",$O62,$B63)</f>
        <v/>
      </c>
      <c r="S63" s="38">
        <f>$S62-IF($F63="",0,$F63)</f>
        <v/>
      </c>
      <c r="T63" s="38">
        <f>$T62+$J63</f>
        <v/>
      </c>
    </row>
    <row r="64">
      <c r="A64" s="39">
        <f>IF($F64="","",COUNT($F$14:$F64))</f>
        <v/>
      </c>
      <c r="B64" s="8" t="n"/>
      <c r="C64" s="6" t="n"/>
      <c r="D64" s="6" t="n"/>
      <c r="E64" s="40" t="n"/>
      <c r="F64" s="36" t="n"/>
      <c r="G64" s="41">
        <f>IF($B64="","",$S64)</f>
        <v/>
      </c>
      <c r="H64" s="42">
        <f>IF($I64&lt;=0,"",('Engine'!$B$8*MAX(0,MIN($O64,'Engine'!$B$3)-MAX($O63,'Engine'!$B$2))+'Engine'!$B$9*MAX(0,MIN($O64,'Engine'!$B$5)-MAX($O63,'Engine'!$B$4))+'Engine'!$B$10*MAX(0,MIN($O64,'Engine'!$B$7)-MAX($O63,'Engine'!$B$6)))/100/$H$8/$I64*$H$8*100)</f>
        <v/>
      </c>
      <c r="I64" s="43">
        <f>$O64-$O63</f>
        <v/>
      </c>
      <c r="J64" s="41">
        <f>IF($I64&lt;=0,0,$S63*('Engine'!$B$8*MAX(0,MIN($O64,'Engine'!$B$3)-MAX($O63,'Engine'!$B$2))+'Engine'!$B$9*MAX(0,MIN($O64,'Engine'!$B$5)-MAX($O63,'Engine'!$B$4))+'Engine'!$B$10*MAX(0,MIN($O64,'Engine'!$B$7)-MAX($O63,'Engine'!$B$6)))/100/$H$8)</f>
        <v/>
      </c>
      <c r="K64" s="41">
        <f>IF($B64="","",$T64)</f>
        <v/>
      </c>
      <c r="L64" s="36" t="n"/>
      <c r="M64" s="41">
        <f>IF($L64="","",ROUND($S64-$L64,2))</f>
        <v/>
      </c>
      <c r="N64" s="44">
        <f>IF(AND($H$10&lt;&gt;"",$O64&lt;=$H$10),"LOCKED","OPEN")</f>
        <v/>
      </c>
      <c r="O64" s="25">
        <f>IF($B64="",$O63,$B64)</f>
        <v/>
      </c>
      <c r="S64" s="38">
        <f>$S63-IF($F64="",0,$F64)</f>
        <v/>
      </c>
      <c r="T64" s="38">
        <f>$T63+$J64</f>
        <v/>
      </c>
    </row>
    <row r="65">
      <c r="A65" s="45" t="inlineStr">
        <is>
          <t>INT</t>
        </is>
      </c>
      <c r="B65" s="46">
        <f>$Q$53</f>
        <v/>
      </c>
      <c r="C65" s="47" t="n"/>
      <c r="D65" s="48">
        <f>"Interest for the quarter debited &amp; capitalised   ·   rate(s) applied :  "&amp;$R$53</f>
        <v/>
      </c>
      <c r="E65" s="49">
        <f>ROUND($T64+$J65,2)</f>
        <v/>
      </c>
      <c r="F65" s="50" t="n"/>
      <c r="G65" s="49">
        <f>$S65</f>
        <v/>
      </c>
      <c r="H65" s="51">
        <f>IF($I65&lt;=0,"",('Engine'!$B$8*MAX(0,MIN($O65,'Engine'!$B$3)-MAX($O64,'Engine'!$B$2))+'Engine'!$B$9*MAX(0,MIN($O65,'Engine'!$B$5)-MAX($O64,'Engine'!$B$4))+'Engine'!$B$10*MAX(0,MIN($O65,'Engine'!$B$7)-MAX($O64,'Engine'!$B$6)))/100/$H$8/$I65*$H$8*100)</f>
        <v/>
      </c>
      <c r="I65" s="52">
        <f>$O65-$O64</f>
        <v/>
      </c>
      <c r="J65" s="53">
        <f>IF($I65&lt;=0,0,$S64*('Engine'!$B$8*MAX(0,MIN($O65,'Engine'!$B$3)-MAX($O64,'Engine'!$B$2))+'Engine'!$B$9*MAX(0,MIN($O65,'Engine'!$B$5)-MAX($O64,'Engine'!$B$4))+'Engine'!$B$10*MAX(0,MIN($O65,'Engine'!$B$7)-MAX($O64,'Engine'!$B$6)))/100/$H$8)</f>
        <v/>
      </c>
      <c r="K65" s="53" t="n">
        <v>0</v>
      </c>
      <c r="L65" s="36" t="n"/>
      <c r="M65" s="53">
        <f>IF($L65="","",ROUND($S65-$L65,2))</f>
        <v/>
      </c>
      <c r="N65" s="54">
        <f>IF(AND($H$10&lt;&gt;"",$O65&lt;=$H$10),"LOCKED","OPEN")</f>
        <v/>
      </c>
      <c r="O65" s="25">
        <f>$Q$53</f>
        <v/>
      </c>
      <c r="S65" s="38">
        <f>$S64+$E65</f>
        <v/>
      </c>
      <c r="T65" s="38" t="n">
        <v>0</v>
      </c>
    </row>
    <row r="66" ht="18" customHeight="1">
      <c r="A66" s="24">
        <f>IF($P$66=0,"QUARTER 5          –  enter the Balance B/F date above to activate this quarter  –","QUARTER 5          "&amp;TEXT($P$66,"DD-MM-YYYY")&amp;"   to   "&amp;TEXT($Q$66,"DD-MM-YYYY")&amp;"          "&amp;IF(AND($H$10&lt;&gt;"",$Q$66&lt;=$H$10),"■ LOCKED – reconciled, no entry allowed","▷ OPEN for entry")&amp;"          RATE(S) APPLIED :  "&amp;$R$66)</f>
        <v/>
      </c>
      <c r="O66" s="25">
        <f>'Engine'!$E$6</f>
        <v/>
      </c>
      <c r="P66" s="25">
        <f>'Engine'!$E$6</f>
        <v/>
      </c>
      <c r="Q66" s="25">
        <f>'Engine'!$F$6</f>
        <v/>
      </c>
      <c r="R66" s="26">
        <f>'Engine'!$G$6</f>
        <v/>
      </c>
    </row>
    <row r="67">
      <c r="A67" s="27" t="inlineStr">
        <is>
          <t>B/F</t>
        </is>
      </c>
      <c r="B67" s="28">
        <f>$P$66</f>
        <v/>
      </c>
      <c r="C67" s="29" t="n"/>
      <c r="D67" s="30">
        <f>"Balance carried forward from quarter 4 – interest capitalised"</f>
        <v/>
      </c>
      <c r="E67" s="31" t="n"/>
      <c r="F67" s="31" t="n"/>
      <c r="G67" s="32">
        <f>$S$67</f>
        <v/>
      </c>
      <c r="H67" s="33" t="n"/>
      <c r="I67" s="34">
        <f>$O$67-$O$65</f>
        <v/>
      </c>
      <c r="J67" s="35" t="n">
        <v>0</v>
      </c>
      <c r="K67" s="35" t="n">
        <v>0</v>
      </c>
      <c r="L67" s="36" t="n"/>
      <c r="M67" s="35">
        <f>IF($L$67="","",ROUND($S$67-$L$67,2))</f>
        <v/>
      </c>
      <c r="N67" s="37">
        <f>IF(AND($H$10&lt;&gt;"",$O$67&lt;=$H$10),"LOCKED","OPEN")</f>
        <v/>
      </c>
      <c r="O67" s="25">
        <f>$P$66</f>
        <v/>
      </c>
      <c r="S67" s="38">
        <f>$S$65</f>
        <v/>
      </c>
      <c r="T67" s="38" t="n">
        <v>0</v>
      </c>
    </row>
    <row r="68">
      <c r="A68" s="39">
        <f>IF($F68="","",COUNT($F$14:$F68))</f>
        <v/>
      </c>
      <c r="B68" s="8" t="n">
        <v>45966</v>
      </c>
      <c r="C68" s="6" t="inlineStr">
        <is>
          <t>CHQ 123459</t>
        </is>
      </c>
      <c r="D68" s="6" t="inlineStr">
        <is>
          <t>Repayment by transfer</t>
        </is>
      </c>
      <c r="E68" s="40" t="n"/>
      <c r="F68" s="36" t="n">
        <v>350000</v>
      </c>
      <c r="G68" s="41">
        <f>IF($B68="","",$S68)</f>
        <v/>
      </c>
      <c r="H68" s="42">
        <f>IF($I68&lt;=0,"",('Engine'!$B$8*MAX(0,MIN($O68,'Engine'!$B$3)-MAX($O67,'Engine'!$B$2))+'Engine'!$B$9*MAX(0,MIN($O68,'Engine'!$B$5)-MAX($O67,'Engine'!$B$4))+'Engine'!$B$10*MAX(0,MIN($O68,'Engine'!$B$7)-MAX($O67,'Engine'!$B$6)))/100/$H$8/$I68*$H$8*100)</f>
        <v/>
      </c>
      <c r="I68" s="43">
        <f>$O68-$O67</f>
        <v/>
      </c>
      <c r="J68" s="41">
        <f>IF($I68&lt;=0,0,$S67*('Engine'!$B$8*MAX(0,MIN($O68,'Engine'!$B$3)-MAX($O67,'Engine'!$B$2))+'Engine'!$B$9*MAX(0,MIN($O68,'Engine'!$B$5)-MAX($O67,'Engine'!$B$4))+'Engine'!$B$10*MAX(0,MIN($O68,'Engine'!$B$7)-MAX($O67,'Engine'!$B$6)))/100/$H$8)</f>
        <v/>
      </c>
      <c r="K68" s="41">
        <f>IF($B68="","",$T68)</f>
        <v/>
      </c>
      <c r="L68" s="36" t="n"/>
      <c r="M68" s="41">
        <f>IF($L68="","",ROUND($S68-$L68,2))</f>
        <v/>
      </c>
      <c r="N68" s="44">
        <f>IF(AND($H$10&lt;&gt;"",$O68&lt;=$H$10),"LOCKED","OPEN")</f>
        <v/>
      </c>
      <c r="O68" s="25">
        <f>IF($B68="",$O67,$B68)</f>
        <v/>
      </c>
      <c r="S68" s="38">
        <f>$S67-IF($F68="",0,$F68)</f>
        <v/>
      </c>
      <c r="T68" s="38">
        <f>$T67+$J68</f>
        <v/>
      </c>
    </row>
    <row r="69">
      <c r="A69" s="39">
        <f>IF($F69="","",COUNT($F$14:$F69))</f>
        <v/>
      </c>
      <c r="B69" s="8" t="n"/>
      <c r="C69" s="6" t="n"/>
      <c r="D69" s="6" t="n"/>
      <c r="E69" s="40" t="n"/>
      <c r="F69" s="36" t="n"/>
      <c r="G69" s="41">
        <f>IF($B69="","",$S69)</f>
        <v/>
      </c>
      <c r="H69" s="42">
        <f>IF($I69&lt;=0,"",('Engine'!$B$8*MAX(0,MIN($O69,'Engine'!$B$3)-MAX($O68,'Engine'!$B$2))+'Engine'!$B$9*MAX(0,MIN($O69,'Engine'!$B$5)-MAX($O68,'Engine'!$B$4))+'Engine'!$B$10*MAX(0,MIN($O69,'Engine'!$B$7)-MAX($O68,'Engine'!$B$6)))/100/$H$8/$I69*$H$8*100)</f>
        <v/>
      </c>
      <c r="I69" s="43">
        <f>$O69-$O68</f>
        <v/>
      </c>
      <c r="J69" s="41">
        <f>IF($I69&lt;=0,0,$S68*('Engine'!$B$8*MAX(0,MIN($O69,'Engine'!$B$3)-MAX($O68,'Engine'!$B$2))+'Engine'!$B$9*MAX(0,MIN($O69,'Engine'!$B$5)-MAX($O68,'Engine'!$B$4))+'Engine'!$B$10*MAX(0,MIN($O69,'Engine'!$B$7)-MAX($O68,'Engine'!$B$6)))/100/$H$8)</f>
        <v/>
      </c>
      <c r="K69" s="41">
        <f>IF($B69="","",$T69)</f>
        <v/>
      </c>
      <c r="L69" s="36" t="n"/>
      <c r="M69" s="41">
        <f>IF($L69="","",ROUND($S69-$L69,2))</f>
        <v/>
      </c>
      <c r="N69" s="44">
        <f>IF(AND($H$10&lt;&gt;"",$O69&lt;=$H$10),"LOCKED","OPEN")</f>
        <v/>
      </c>
      <c r="O69" s="25">
        <f>IF($B69="",$O68,$B69)</f>
        <v/>
      </c>
      <c r="S69" s="38">
        <f>$S68-IF($F69="",0,$F69)</f>
        <v/>
      </c>
      <c r="T69" s="38">
        <f>$T68+$J69</f>
        <v/>
      </c>
    </row>
    <row r="70">
      <c r="A70" s="39">
        <f>IF($F70="","",COUNT($F$14:$F70))</f>
        <v/>
      </c>
      <c r="B70" s="8" t="n"/>
      <c r="C70" s="6" t="n"/>
      <c r="D70" s="6" t="n"/>
      <c r="E70" s="40" t="n"/>
      <c r="F70" s="36" t="n"/>
      <c r="G70" s="41">
        <f>IF($B70="","",$S70)</f>
        <v/>
      </c>
      <c r="H70" s="42">
        <f>IF($I70&lt;=0,"",('Engine'!$B$8*MAX(0,MIN($O70,'Engine'!$B$3)-MAX($O69,'Engine'!$B$2))+'Engine'!$B$9*MAX(0,MIN($O70,'Engine'!$B$5)-MAX($O69,'Engine'!$B$4))+'Engine'!$B$10*MAX(0,MIN($O70,'Engine'!$B$7)-MAX($O69,'Engine'!$B$6)))/100/$H$8/$I70*$H$8*100)</f>
        <v/>
      </c>
      <c r="I70" s="43">
        <f>$O70-$O69</f>
        <v/>
      </c>
      <c r="J70" s="41">
        <f>IF($I70&lt;=0,0,$S69*('Engine'!$B$8*MAX(0,MIN($O70,'Engine'!$B$3)-MAX($O69,'Engine'!$B$2))+'Engine'!$B$9*MAX(0,MIN($O70,'Engine'!$B$5)-MAX($O69,'Engine'!$B$4))+'Engine'!$B$10*MAX(0,MIN($O70,'Engine'!$B$7)-MAX($O69,'Engine'!$B$6)))/100/$H$8)</f>
        <v/>
      </c>
      <c r="K70" s="41">
        <f>IF($B70="","",$T70)</f>
        <v/>
      </c>
      <c r="L70" s="36" t="n"/>
      <c r="M70" s="41">
        <f>IF($L70="","",ROUND($S70-$L70,2))</f>
        <v/>
      </c>
      <c r="N70" s="44">
        <f>IF(AND($H$10&lt;&gt;"",$O70&lt;=$H$10),"LOCKED","OPEN")</f>
        <v/>
      </c>
      <c r="O70" s="25">
        <f>IF($B70="",$O69,$B70)</f>
        <v/>
      </c>
      <c r="S70" s="38">
        <f>$S69-IF($F70="",0,$F70)</f>
        <v/>
      </c>
      <c r="T70" s="38">
        <f>$T69+$J70</f>
        <v/>
      </c>
    </row>
    <row r="71">
      <c r="A71" s="39">
        <f>IF($F71="","",COUNT($F$14:$F71))</f>
        <v/>
      </c>
      <c r="B71" s="8" t="n"/>
      <c r="C71" s="6" t="n"/>
      <c r="D71" s="6" t="n"/>
      <c r="E71" s="40" t="n"/>
      <c r="F71" s="36" t="n"/>
      <c r="G71" s="41">
        <f>IF($B71="","",$S71)</f>
        <v/>
      </c>
      <c r="H71" s="42">
        <f>IF($I71&lt;=0,"",('Engine'!$B$8*MAX(0,MIN($O71,'Engine'!$B$3)-MAX($O70,'Engine'!$B$2))+'Engine'!$B$9*MAX(0,MIN($O71,'Engine'!$B$5)-MAX($O70,'Engine'!$B$4))+'Engine'!$B$10*MAX(0,MIN($O71,'Engine'!$B$7)-MAX($O70,'Engine'!$B$6)))/100/$H$8/$I71*$H$8*100)</f>
        <v/>
      </c>
      <c r="I71" s="43">
        <f>$O71-$O70</f>
        <v/>
      </c>
      <c r="J71" s="41">
        <f>IF($I71&lt;=0,0,$S70*('Engine'!$B$8*MAX(0,MIN($O71,'Engine'!$B$3)-MAX($O70,'Engine'!$B$2))+'Engine'!$B$9*MAX(0,MIN($O71,'Engine'!$B$5)-MAX($O70,'Engine'!$B$4))+'Engine'!$B$10*MAX(0,MIN($O71,'Engine'!$B$7)-MAX($O70,'Engine'!$B$6)))/100/$H$8)</f>
        <v/>
      </c>
      <c r="K71" s="41">
        <f>IF($B71="","",$T71)</f>
        <v/>
      </c>
      <c r="L71" s="36" t="n"/>
      <c r="M71" s="41">
        <f>IF($L71="","",ROUND($S71-$L71,2))</f>
        <v/>
      </c>
      <c r="N71" s="44">
        <f>IF(AND($H$10&lt;&gt;"",$O71&lt;=$H$10),"LOCKED","OPEN")</f>
        <v/>
      </c>
      <c r="O71" s="25">
        <f>IF($B71="",$O70,$B71)</f>
        <v/>
      </c>
      <c r="S71" s="38">
        <f>$S70-IF($F71="",0,$F71)</f>
        <v/>
      </c>
      <c r="T71" s="38">
        <f>$T70+$J71</f>
        <v/>
      </c>
    </row>
    <row r="72">
      <c r="A72" s="39">
        <f>IF($F72="","",COUNT($F$14:$F72))</f>
        <v/>
      </c>
      <c r="B72" s="8" t="n"/>
      <c r="C72" s="6" t="n"/>
      <c r="D72" s="6" t="n"/>
      <c r="E72" s="40" t="n"/>
      <c r="F72" s="36" t="n"/>
      <c r="G72" s="41">
        <f>IF($B72="","",$S72)</f>
        <v/>
      </c>
      <c r="H72" s="42">
        <f>IF($I72&lt;=0,"",('Engine'!$B$8*MAX(0,MIN($O72,'Engine'!$B$3)-MAX($O71,'Engine'!$B$2))+'Engine'!$B$9*MAX(0,MIN($O72,'Engine'!$B$5)-MAX($O71,'Engine'!$B$4))+'Engine'!$B$10*MAX(0,MIN($O72,'Engine'!$B$7)-MAX($O71,'Engine'!$B$6)))/100/$H$8/$I72*$H$8*100)</f>
        <v/>
      </c>
      <c r="I72" s="43">
        <f>$O72-$O71</f>
        <v/>
      </c>
      <c r="J72" s="41">
        <f>IF($I72&lt;=0,0,$S71*('Engine'!$B$8*MAX(0,MIN($O72,'Engine'!$B$3)-MAX($O71,'Engine'!$B$2))+'Engine'!$B$9*MAX(0,MIN($O72,'Engine'!$B$5)-MAX($O71,'Engine'!$B$4))+'Engine'!$B$10*MAX(0,MIN($O72,'Engine'!$B$7)-MAX($O71,'Engine'!$B$6)))/100/$H$8)</f>
        <v/>
      </c>
      <c r="K72" s="41">
        <f>IF($B72="","",$T72)</f>
        <v/>
      </c>
      <c r="L72" s="36" t="n"/>
      <c r="M72" s="41">
        <f>IF($L72="","",ROUND($S72-$L72,2))</f>
        <v/>
      </c>
      <c r="N72" s="44">
        <f>IF(AND($H$10&lt;&gt;"",$O72&lt;=$H$10),"LOCKED","OPEN")</f>
        <v/>
      </c>
      <c r="O72" s="25">
        <f>IF($B72="",$O71,$B72)</f>
        <v/>
      </c>
      <c r="S72" s="38">
        <f>$S71-IF($F72="",0,$F72)</f>
        <v/>
      </c>
      <c r="T72" s="38">
        <f>$T71+$J72</f>
        <v/>
      </c>
    </row>
    <row r="73">
      <c r="A73" s="39">
        <f>IF($F73="","",COUNT($F$14:$F73))</f>
        <v/>
      </c>
      <c r="B73" s="8" t="n"/>
      <c r="C73" s="6" t="n"/>
      <c r="D73" s="6" t="n"/>
      <c r="E73" s="40" t="n"/>
      <c r="F73" s="36" t="n"/>
      <c r="G73" s="41">
        <f>IF($B73="","",$S73)</f>
        <v/>
      </c>
      <c r="H73" s="42">
        <f>IF($I73&lt;=0,"",('Engine'!$B$8*MAX(0,MIN($O73,'Engine'!$B$3)-MAX($O72,'Engine'!$B$2))+'Engine'!$B$9*MAX(0,MIN($O73,'Engine'!$B$5)-MAX($O72,'Engine'!$B$4))+'Engine'!$B$10*MAX(0,MIN($O73,'Engine'!$B$7)-MAX($O72,'Engine'!$B$6)))/100/$H$8/$I73*$H$8*100)</f>
        <v/>
      </c>
      <c r="I73" s="43">
        <f>$O73-$O72</f>
        <v/>
      </c>
      <c r="J73" s="41">
        <f>IF($I73&lt;=0,0,$S72*('Engine'!$B$8*MAX(0,MIN($O73,'Engine'!$B$3)-MAX($O72,'Engine'!$B$2))+'Engine'!$B$9*MAX(0,MIN($O73,'Engine'!$B$5)-MAX($O72,'Engine'!$B$4))+'Engine'!$B$10*MAX(0,MIN($O73,'Engine'!$B$7)-MAX($O72,'Engine'!$B$6)))/100/$H$8)</f>
        <v/>
      </c>
      <c r="K73" s="41">
        <f>IF($B73="","",$T73)</f>
        <v/>
      </c>
      <c r="L73" s="36" t="n"/>
      <c r="M73" s="41">
        <f>IF($L73="","",ROUND($S73-$L73,2))</f>
        <v/>
      </c>
      <c r="N73" s="44">
        <f>IF(AND($H$10&lt;&gt;"",$O73&lt;=$H$10),"LOCKED","OPEN")</f>
        <v/>
      </c>
      <c r="O73" s="25">
        <f>IF($B73="",$O72,$B73)</f>
        <v/>
      </c>
      <c r="S73" s="38">
        <f>$S72-IF($F73="",0,$F73)</f>
        <v/>
      </c>
      <c r="T73" s="38">
        <f>$T72+$J73</f>
        <v/>
      </c>
    </row>
    <row r="74">
      <c r="A74" s="39">
        <f>IF($F74="","",COUNT($F$14:$F74))</f>
        <v/>
      </c>
      <c r="B74" s="8" t="n"/>
      <c r="C74" s="6" t="n"/>
      <c r="D74" s="6" t="n"/>
      <c r="E74" s="40" t="n"/>
      <c r="F74" s="36" t="n"/>
      <c r="G74" s="41">
        <f>IF($B74="","",$S74)</f>
        <v/>
      </c>
      <c r="H74" s="42">
        <f>IF($I74&lt;=0,"",('Engine'!$B$8*MAX(0,MIN($O74,'Engine'!$B$3)-MAX($O73,'Engine'!$B$2))+'Engine'!$B$9*MAX(0,MIN($O74,'Engine'!$B$5)-MAX($O73,'Engine'!$B$4))+'Engine'!$B$10*MAX(0,MIN($O74,'Engine'!$B$7)-MAX($O73,'Engine'!$B$6)))/100/$H$8/$I74*$H$8*100)</f>
        <v/>
      </c>
      <c r="I74" s="43">
        <f>$O74-$O73</f>
        <v/>
      </c>
      <c r="J74" s="41">
        <f>IF($I74&lt;=0,0,$S73*('Engine'!$B$8*MAX(0,MIN($O74,'Engine'!$B$3)-MAX($O73,'Engine'!$B$2))+'Engine'!$B$9*MAX(0,MIN($O74,'Engine'!$B$5)-MAX($O73,'Engine'!$B$4))+'Engine'!$B$10*MAX(0,MIN($O74,'Engine'!$B$7)-MAX($O73,'Engine'!$B$6)))/100/$H$8)</f>
        <v/>
      </c>
      <c r="K74" s="41">
        <f>IF($B74="","",$T74)</f>
        <v/>
      </c>
      <c r="L74" s="36" t="n"/>
      <c r="M74" s="41">
        <f>IF($L74="","",ROUND($S74-$L74,2))</f>
        <v/>
      </c>
      <c r="N74" s="44">
        <f>IF(AND($H$10&lt;&gt;"",$O74&lt;=$H$10),"LOCKED","OPEN")</f>
        <v/>
      </c>
      <c r="O74" s="25">
        <f>IF($B74="",$O73,$B74)</f>
        <v/>
      </c>
      <c r="S74" s="38">
        <f>$S73-IF($F74="",0,$F74)</f>
        <v/>
      </c>
      <c r="T74" s="38">
        <f>$T73+$J74</f>
        <v/>
      </c>
    </row>
    <row r="75">
      <c r="A75" s="39">
        <f>IF($F75="","",COUNT($F$14:$F75))</f>
        <v/>
      </c>
      <c r="B75" s="8" t="n"/>
      <c r="C75" s="6" t="n"/>
      <c r="D75" s="6" t="n"/>
      <c r="E75" s="40" t="n"/>
      <c r="F75" s="36" t="n"/>
      <c r="G75" s="41">
        <f>IF($B75="","",$S75)</f>
        <v/>
      </c>
      <c r="H75" s="42">
        <f>IF($I75&lt;=0,"",('Engine'!$B$8*MAX(0,MIN($O75,'Engine'!$B$3)-MAX($O74,'Engine'!$B$2))+'Engine'!$B$9*MAX(0,MIN($O75,'Engine'!$B$5)-MAX($O74,'Engine'!$B$4))+'Engine'!$B$10*MAX(0,MIN($O75,'Engine'!$B$7)-MAX($O74,'Engine'!$B$6)))/100/$H$8/$I75*$H$8*100)</f>
        <v/>
      </c>
      <c r="I75" s="43">
        <f>$O75-$O74</f>
        <v/>
      </c>
      <c r="J75" s="41">
        <f>IF($I75&lt;=0,0,$S74*('Engine'!$B$8*MAX(0,MIN($O75,'Engine'!$B$3)-MAX($O74,'Engine'!$B$2))+'Engine'!$B$9*MAX(0,MIN($O75,'Engine'!$B$5)-MAX($O74,'Engine'!$B$4))+'Engine'!$B$10*MAX(0,MIN($O75,'Engine'!$B$7)-MAX($O74,'Engine'!$B$6)))/100/$H$8)</f>
        <v/>
      </c>
      <c r="K75" s="41">
        <f>IF($B75="","",$T75)</f>
        <v/>
      </c>
      <c r="L75" s="36" t="n"/>
      <c r="M75" s="41">
        <f>IF($L75="","",ROUND($S75-$L75,2))</f>
        <v/>
      </c>
      <c r="N75" s="44">
        <f>IF(AND($H$10&lt;&gt;"",$O75&lt;=$H$10),"LOCKED","OPEN")</f>
        <v/>
      </c>
      <c r="O75" s="25">
        <f>IF($B75="",$O74,$B75)</f>
        <v/>
      </c>
      <c r="S75" s="38">
        <f>$S74-IF($F75="",0,$F75)</f>
        <v/>
      </c>
      <c r="T75" s="38">
        <f>$T74+$J75</f>
        <v/>
      </c>
    </row>
    <row r="76">
      <c r="A76" s="39">
        <f>IF($F76="","",COUNT($F$14:$F76))</f>
        <v/>
      </c>
      <c r="B76" s="8" t="n"/>
      <c r="C76" s="6" t="n"/>
      <c r="D76" s="6" t="n"/>
      <c r="E76" s="40" t="n"/>
      <c r="F76" s="36" t="n"/>
      <c r="G76" s="41">
        <f>IF($B76="","",$S76)</f>
        <v/>
      </c>
      <c r="H76" s="42">
        <f>IF($I76&lt;=0,"",('Engine'!$B$8*MAX(0,MIN($O76,'Engine'!$B$3)-MAX($O75,'Engine'!$B$2))+'Engine'!$B$9*MAX(0,MIN($O76,'Engine'!$B$5)-MAX($O75,'Engine'!$B$4))+'Engine'!$B$10*MAX(0,MIN($O76,'Engine'!$B$7)-MAX($O75,'Engine'!$B$6)))/100/$H$8/$I76*$H$8*100)</f>
        <v/>
      </c>
      <c r="I76" s="43">
        <f>$O76-$O75</f>
        <v/>
      </c>
      <c r="J76" s="41">
        <f>IF($I76&lt;=0,0,$S75*('Engine'!$B$8*MAX(0,MIN($O76,'Engine'!$B$3)-MAX($O75,'Engine'!$B$2))+'Engine'!$B$9*MAX(0,MIN($O76,'Engine'!$B$5)-MAX($O75,'Engine'!$B$4))+'Engine'!$B$10*MAX(0,MIN($O76,'Engine'!$B$7)-MAX($O75,'Engine'!$B$6)))/100/$H$8)</f>
        <v/>
      </c>
      <c r="K76" s="41">
        <f>IF($B76="","",$T76)</f>
        <v/>
      </c>
      <c r="L76" s="36" t="n"/>
      <c r="M76" s="41">
        <f>IF($L76="","",ROUND($S76-$L76,2))</f>
        <v/>
      </c>
      <c r="N76" s="44">
        <f>IF(AND($H$10&lt;&gt;"",$O76&lt;=$H$10),"LOCKED","OPEN")</f>
        <v/>
      </c>
      <c r="O76" s="25">
        <f>IF($B76="",$O75,$B76)</f>
        <v/>
      </c>
      <c r="S76" s="38">
        <f>$S75-IF($F76="",0,$F76)</f>
        <v/>
      </c>
      <c r="T76" s="38">
        <f>$T75+$J76</f>
        <v/>
      </c>
    </row>
    <row r="77">
      <c r="A77" s="39">
        <f>IF($F77="","",COUNT($F$14:$F77))</f>
        <v/>
      </c>
      <c r="B77" s="8" t="n"/>
      <c r="C77" s="6" t="n"/>
      <c r="D77" s="6" t="n"/>
      <c r="E77" s="40" t="n"/>
      <c r="F77" s="36" t="n"/>
      <c r="G77" s="41">
        <f>IF($B77="","",$S77)</f>
        <v/>
      </c>
      <c r="H77" s="42">
        <f>IF($I77&lt;=0,"",('Engine'!$B$8*MAX(0,MIN($O77,'Engine'!$B$3)-MAX($O76,'Engine'!$B$2))+'Engine'!$B$9*MAX(0,MIN($O77,'Engine'!$B$5)-MAX($O76,'Engine'!$B$4))+'Engine'!$B$10*MAX(0,MIN($O77,'Engine'!$B$7)-MAX($O76,'Engine'!$B$6)))/100/$H$8/$I77*$H$8*100)</f>
        <v/>
      </c>
      <c r="I77" s="43">
        <f>$O77-$O76</f>
        <v/>
      </c>
      <c r="J77" s="41">
        <f>IF($I77&lt;=0,0,$S76*('Engine'!$B$8*MAX(0,MIN($O77,'Engine'!$B$3)-MAX($O76,'Engine'!$B$2))+'Engine'!$B$9*MAX(0,MIN($O77,'Engine'!$B$5)-MAX($O76,'Engine'!$B$4))+'Engine'!$B$10*MAX(0,MIN($O77,'Engine'!$B$7)-MAX($O76,'Engine'!$B$6)))/100/$H$8)</f>
        <v/>
      </c>
      <c r="K77" s="41">
        <f>IF($B77="","",$T77)</f>
        <v/>
      </c>
      <c r="L77" s="36" t="n"/>
      <c r="M77" s="41">
        <f>IF($L77="","",ROUND($S77-$L77,2))</f>
        <v/>
      </c>
      <c r="N77" s="44">
        <f>IF(AND($H$10&lt;&gt;"",$O77&lt;=$H$10),"LOCKED","OPEN")</f>
        <v/>
      </c>
      <c r="O77" s="25">
        <f>IF($B77="",$O76,$B77)</f>
        <v/>
      </c>
      <c r="S77" s="38">
        <f>$S76-IF($F77="",0,$F77)</f>
        <v/>
      </c>
      <c r="T77" s="38">
        <f>$T76+$J77</f>
        <v/>
      </c>
    </row>
    <row r="78">
      <c r="A78" s="45" t="inlineStr">
        <is>
          <t>INT</t>
        </is>
      </c>
      <c r="B78" s="46">
        <f>$Q$66</f>
        <v/>
      </c>
      <c r="C78" s="47" t="n"/>
      <c r="D78" s="48">
        <f>"Interest for the quarter debited &amp; capitalised   ·   rate(s) applied :  "&amp;$R$66</f>
        <v/>
      </c>
      <c r="E78" s="49">
        <f>ROUND($T77+$J78,2)</f>
        <v/>
      </c>
      <c r="F78" s="50" t="n"/>
      <c r="G78" s="49">
        <f>$S78</f>
        <v/>
      </c>
      <c r="H78" s="51">
        <f>IF($I78&lt;=0,"",('Engine'!$B$8*MAX(0,MIN($O78,'Engine'!$B$3)-MAX($O77,'Engine'!$B$2))+'Engine'!$B$9*MAX(0,MIN($O78,'Engine'!$B$5)-MAX($O77,'Engine'!$B$4))+'Engine'!$B$10*MAX(0,MIN($O78,'Engine'!$B$7)-MAX($O77,'Engine'!$B$6)))/100/$H$8/$I78*$H$8*100)</f>
        <v/>
      </c>
      <c r="I78" s="52">
        <f>$O78-$O77</f>
        <v/>
      </c>
      <c r="J78" s="53">
        <f>IF($I78&lt;=0,0,$S77*('Engine'!$B$8*MAX(0,MIN($O78,'Engine'!$B$3)-MAX($O77,'Engine'!$B$2))+'Engine'!$B$9*MAX(0,MIN($O78,'Engine'!$B$5)-MAX($O77,'Engine'!$B$4))+'Engine'!$B$10*MAX(0,MIN($O78,'Engine'!$B$7)-MAX($O77,'Engine'!$B$6)))/100/$H$8)</f>
        <v/>
      </c>
      <c r="K78" s="53" t="n">
        <v>0</v>
      </c>
      <c r="L78" s="36" t="n"/>
      <c r="M78" s="53">
        <f>IF($L78="","",ROUND($S78-$L78,2))</f>
        <v/>
      </c>
      <c r="N78" s="54">
        <f>IF(AND($H$10&lt;&gt;"",$O78&lt;=$H$10),"LOCKED","OPEN")</f>
        <v/>
      </c>
      <c r="O78" s="25">
        <f>$Q$66</f>
        <v/>
      </c>
      <c r="S78" s="38">
        <f>$S77+$E78</f>
        <v/>
      </c>
      <c r="T78" s="38" t="n">
        <v>0</v>
      </c>
    </row>
    <row r="79" ht="18" customHeight="1">
      <c r="A79" s="24">
        <f>IF($P$79=0,"QUARTER 6          –  enter the Balance B/F date above to activate this quarter  –","QUARTER 6          "&amp;TEXT($P$79,"DD-MM-YYYY")&amp;"   to   "&amp;TEXT($Q$79,"DD-MM-YYYY")&amp;"          "&amp;IF(AND($H$10&lt;&gt;"",$Q$79&lt;=$H$10),"■ LOCKED – reconciled, no entry allowed","▷ OPEN for entry")&amp;"          RATE(S) APPLIED :  "&amp;$R$79)</f>
        <v/>
      </c>
      <c r="O79" s="25">
        <f>'Engine'!$E$7</f>
        <v/>
      </c>
      <c r="P79" s="25">
        <f>'Engine'!$E$7</f>
        <v/>
      </c>
      <c r="Q79" s="25">
        <f>'Engine'!$F$7</f>
        <v/>
      </c>
      <c r="R79" s="26">
        <f>'Engine'!$G$7</f>
        <v/>
      </c>
    </row>
    <row r="80">
      <c r="A80" s="27" t="inlineStr">
        <is>
          <t>B/F</t>
        </is>
      </c>
      <c r="B80" s="28">
        <f>$P$79</f>
        <v/>
      </c>
      <c r="C80" s="29" t="n"/>
      <c r="D80" s="30">
        <f>"Balance carried forward from quarter 5 – interest capitalised"</f>
        <v/>
      </c>
      <c r="E80" s="31" t="n"/>
      <c r="F80" s="31" t="n"/>
      <c r="G80" s="32">
        <f>$S$80</f>
        <v/>
      </c>
      <c r="H80" s="33" t="n"/>
      <c r="I80" s="34">
        <f>$O$80-$O$78</f>
        <v/>
      </c>
      <c r="J80" s="35" t="n">
        <v>0</v>
      </c>
      <c r="K80" s="35" t="n">
        <v>0</v>
      </c>
      <c r="L80" s="36" t="n"/>
      <c r="M80" s="35">
        <f>IF($L$80="","",ROUND($S$80-$L$80,2))</f>
        <v/>
      </c>
      <c r="N80" s="37">
        <f>IF(AND($H$10&lt;&gt;"",$O$80&lt;=$H$10),"LOCKED","OPEN")</f>
        <v/>
      </c>
      <c r="O80" s="25">
        <f>$P$79</f>
        <v/>
      </c>
      <c r="S80" s="38">
        <f>$S$78</f>
        <v/>
      </c>
      <c r="T80" s="38" t="n">
        <v>0</v>
      </c>
    </row>
    <row r="81">
      <c r="A81" s="39">
        <f>IF($F81="","",COUNT($F$14:$F81))</f>
        <v/>
      </c>
      <c r="B81" s="8" t="n">
        <v>46073</v>
      </c>
      <c r="C81" s="6" t="inlineStr">
        <is>
          <t>RTGS</t>
        </is>
      </c>
      <c r="D81" s="6" t="inlineStr">
        <is>
          <t>Part repayment (rate revised 01-01-2026)</t>
        </is>
      </c>
      <c r="E81" s="40" t="n"/>
      <c r="F81" s="36" t="n">
        <v>300000</v>
      </c>
      <c r="G81" s="41">
        <f>IF($B81="","",$S81)</f>
        <v/>
      </c>
      <c r="H81" s="42">
        <f>IF($I81&lt;=0,"",('Engine'!$B$8*MAX(0,MIN($O81,'Engine'!$B$3)-MAX($O80,'Engine'!$B$2))+'Engine'!$B$9*MAX(0,MIN($O81,'Engine'!$B$5)-MAX($O80,'Engine'!$B$4))+'Engine'!$B$10*MAX(0,MIN($O81,'Engine'!$B$7)-MAX($O80,'Engine'!$B$6)))/100/$H$8/$I81*$H$8*100)</f>
        <v/>
      </c>
      <c r="I81" s="43">
        <f>$O81-$O80</f>
        <v/>
      </c>
      <c r="J81" s="41">
        <f>IF($I81&lt;=0,0,$S80*('Engine'!$B$8*MAX(0,MIN($O81,'Engine'!$B$3)-MAX($O80,'Engine'!$B$2))+'Engine'!$B$9*MAX(0,MIN($O81,'Engine'!$B$5)-MAX($O80,'Engine'!$B$4))+'Engine'!$B$10*MAX(0,MIN($O81,'Engine'!$B$7)-MAX($O80,'Engine'!$B$6)))/100/$H$8)</f>
        <v/>
      </c>
      <c r="K81" s="41">
        <f>IF($B81="","",$T81)</f>
        <v/>
      </c>
      <c r="L81" s="36" t="n"/>
      <c r="M81" s="41">
        <f>IF($L81="","",ROUND($S81-$L81,2))</f>
        <v/>
      </c>
      <c r="N81" s="44">
        <f>IF(AND($H$10&lt;&gt;"",$O81&lt;=$H$10),"LOCKED","OPEN")</f>
        <v/>
      </c>
      <c r="O81" s="25">
        <f>IF($B81="",$O80,$B81)</f>
        <v/>
      </c>
      <c r="S81" s="38">
        <f>$S80-IF($F81="",0,$F81)</f>
        <v/>
      </c>
      <c r="T81" s="38">
        <f>$T80+$J81</f>
        <v/>
      </c>
    </row>
    <row r="82">
      <c r="A82" s="39">
        <f>IF($F82="","",COUNT($F$14:$F82))</f>
        <v/>
      </c>
      <c r="B82" s="8" t="n"/>
      <c r="C82" s="6" t="n"/>
      <c r="D82" s="6" t="n"/>
      <c r="E82" s="40" t="n"/>
      <c r="F82" s="36" t="n"/>
      <c r="G82" s="41">
        <f>IF($B82="","",$S82)</f>
        <v/>
      </c>
      <c r="H82" s="42">
        <f>IF($I82&lt;=0,"",('Engine'!$B$8*MAX(0,MIN($O82,'Engine'!$B$3)-MAX($O81,'Engine'!$B$2))+'Engine'!$B$9*MAX(0,MIN($O82,'Engine'!$B$5)-MAX($O81,'Engine'!$B$4))+'Engine'!$B$10*MAX(0,MIN($O82,'Engine'!$B$7)-MAX($O81,'Engine'!$B$6)))/100/$H$8/$I82*$H$8*100)</f>
        <v/>
      </c>
      <c r="I82" s="43">
        <f>$O82-$O81</f>
        <v/>
      </c>
      <c r="J82" s="41">
        <f>IF($I82&lt;=0,0,$S81*('Engine'!$B$8*MAX(0,MIN($O82,'Engine'!$B$3)-MAX($O81,'Engine'!$B$2))+'Engine'!$B$9*MAX(0,MIN($O82,'Engine'!$B$5)-MAX($O81,'Engine'!$B$4))+'Engine'!$B$10*MAX(0,MIN($O82,'Engine'!$B$7)-MAX($O81,'Engine'!$B$6)))/100/$H$8)</f>
        <v/>
      </c>
      <c r="K82" s="41">
        <f>IF($B82="","",$T82)</f>
        <v/>
      </c>
      <c r="L82" s="36" t="n"/>
      <c r="M82" s="41">
        <f>IF($L82="","",ROUND($S82-$L82,2))</f>
        <v/>
      </c>
      <c r="N82" s="44">
        <f>IF(AND($H$10&lt;&gt;"",$O82&lt;=$H$10),"LOCKED","OPEN")</f>
        <v/>
      </c>
      <c r="O82" s="25">
        <f>IF($B82="",$O81,$B82)</f>
        <v/>
      </c>
      <c r="S82" s="38">
        <f>$S81-IF($F82="",0,$F82)</f>
        <v/>
      </c>
      <c r="T82" s="38">
        <f>$T81+$J82</f>
        <v/>
      </c>
    </row>
    <row r="83">
      <c r="A83" s="39">
        <f>IF($F83="","",COUNT($F$14:$F83))</f>
        <v/>
      </c>
      <c r="B83" s="8" t="n"/>
      <c r="C83" s="6" t="n"/>
      <c r="D83" s="6" t="n"/>
      <c r="E83" s="40" t="n"/>
      <c r="F83" s="36" t="n"/>
      <c r="G83" s="41">
        <f>IF($B83="","",$S83)</f>
        <v/>
      </c>
      <c r="H83" s="42">
        <f>IF($I83&lt;=0,"",('Engine'!$B$8*MAX(0,MIN($O83,'Engine'!$B$3)-MAX($O82,'Engine'!$B$2))+'Engine'!$B$9*MAX(0,MIN($O83,'Engine'!$B$5)-MAX($O82,'Engine'!$B$4))+'Engine'!$B$10*MAX(0,MIN($O83,'Engine'!$B$7)-MAX($O82,'Engine'!$B$6)))/100/$H$8/$I83*$H$8*100)</f>
        <v/>
      </c>
      <c r="I83" s="43">
        <f>$O83-$O82</f>
        <v/>
      </c>
      <c r="J83" s="41">
        <f>IF($I83&lt;=0,0,$S82*('Engine'!$B$8*MAX(0,MIN($O83,'Engine'!$B$3)-MAX($O82,'Engine'!$B$2))+'Engine'!$B$9*MAX(0,MIN($O83,'Engine'!$B$5)-MAX($O82,'Engine'!$B$4))+'Engine'!$B$10*MAX(0,MIN($O83,'Engine'!$B$7)-MAX($O82,'Engine'!$B$6)))/100/$H$8)</f>
        <v/>
      </c>
      <c r="K83" s="41">
        <f>IF($B83="","",$T83)</f>
        <v/>
      </c>
      <c r="L83" s="36" t="n"/>
      <c r="M83" s="41">
        <f>IF($L83="","",ROUND($S83-$L83,2))</f>
        <v/>
      </c>
      <c r="N83" s="44">
        <f>IF(AND($H$10&lt;&gt;"",$O83&lt;=$H$10),"LOCKED","OPEN")</f>
        <v/>
      </c>
      <c r="O83" s="25">
        <f>IF($B83="",$O82,$B83)</f>
        <v/>
      </c>
      <c r="S83" s="38">
        <f>$S82-IF($F83="",0,$F83)</f>
        <v/>
      </c>
      <c r="T83" s="38">
        <f>$T82+$J83</f>
        <v/>
      </c>
    </row>
    <row r="84">
      <c r="A84" s="39">
        <f>IF($F84="","",COUNT($F$14:$F84))</f>
        <v/>
      </c>
      <c r="B84" s="8" t="n"/>
      <c r="C84" s="6" t="n"/>
      <c r="D84" s="6" t="n"/>
      <c r="E84" s="40" t="n"/>
      <c r="F84" s="36" t="n"/>
      <c r="G84" s="41">
        <f>IF($B84="","",$S84)</f>
        <v/>
      </c>
      <c r="H84" s="42">
        <f>IF($I84&lt;=0,"",('Engine'!$B$8*MAX(0,MIN($O84,'Engine'!$B$3)-MAX($O83,'Engine'!$B$2))+'Engine'!$B$9*MAX(0,MIN($O84,'Engine'!$B$5)-MAX($O83,'Engine'!$B$4))+'Engine'!$B$10*MAX(0,MIN($O84,'Engine'!$B$7)-MAX($O83,'Engine'!$B$6)))/100/$H$8/$I84*$H$8*100)</f>
        <v/>
      </c>
      <c r="I84" s="43">
        <f>$O84-$O83</f>
        <v/>
      </c>
      <c r="J84" s="41">
        <f>IF($I84&lt;=0,0,$S83*('Engine'!$B$8*MAX(0,MIN($O84,'Engine'!$B$3)-MAX($O83,'Engine'!$B$2))+'Engine'!$B$9*MAX(0,MIN($O84,'Engine'!$B$5)-MAX($O83,'Engine'!$B$4))+'Engine'!$B$10*MAX(0,MIN($O84,'Engine'!$B$7)-MAX($O83,'Engine'!$B$6)))/100/$H$8)</f>
        <v/>
      </c>
      <c r="K84" s="41">
        <f>IF($B84="","",$T84)</f>
        <v/>
      </c>
      <c r="L84" s="36" t="n"/>
      <c r="M84" s="41">
        <f>IF($L84="","",ROUND($S84-$L84,2))</f>
        <v/>
      </c>
      <c r="N84" s="44">
        <f>IF(AND($H$10&lt;&gt;"",$O84&lt;=$H$10),"LOCKED","OPEN")</f>
        <v/>
      </c>
      <c r="O84" s="25">
        <f>IF($B84="",$O83,$B84)</f>
        <v/>
      </c>
      <c r="S84" s="38">
        <f>$S83-IF($F84="",0,$F84)</f>
        <v/>
      </c>
      <c r="T84" s="38">
        <f>$T83+$J84</f>
        <v/>
      </c>
    </row>
    <row r="85">
      <c r="A85" s="39">
        <f>IF($F85="","",COUNT($F$14:$F85))</f>
        <v/>
      </c>
      <c r="B85" s="8" t="n"/>
      <c r="C85" s="6" t="n"/>
      <c r="D85" s="6" t="n"/>
      <c r="E85" s="40" t="n"/>
      <c r="F85" s="36" t="n"/>
      <c r="G85" s="41">
        <f>IF($B85="","",$S85)</f>
        <v/>
      </c>
      <c r="H85" s="42">
        <f>IF($I85&lt;=0,"",('Engine'!$B$8*MAX(0,MIN($O85,'Engine'!$B$3)-MAX($O84,'Engine'!$B$2))+'Engine'!$B$9*MAX(0,MIN($O85,'Engine'!$B$5)-MAX($O84,'Engine'!$B$4))+'Engine'!$B$10*MAX(0,MIN($O85,'Engine'!$B$7)-MAX($O84,'Engine'!$B$6)))/100/$H$8/$I85*$H$8*100)</f>
        <v/>
      </c>
      <c r="I85" s="43">
        <f>$O85-$O84</f>
        <v/>
      </c>
      <c r="J85" s="41">
        <f>IF($I85&lt;=0,0,$S84*('Engine'!$B$8*MAX(0,MIN($O85,'Engine'!$B$3)-MAX($O84,'Engine'!$B$2))+'Engine'!$B$9*MAX(0,MIN($O85,'Engine'!$B$5)-MAX($O84,'Engine'!$B$4))+'Engine'!$B$10*MAX(0,MIN($O85,'Engine'!$B$7)-MAX($O84,'Engine'!$B$6)))/100/$H$8)</f>
        <v/>
      </c>
      <c r="K85" s="41">
        <f>IF($B85="","",$T85)</f>
        <v/>
      </c>
      <c r="L85" s="36" t="n"/>
      <c r="M85" s="41">
        <f>IF($L85="","",ROUND($S85-$L85,2))</f>
        <v/>
      </c>
      <c r="N85" s="44">
        <f>IF(AND($H$10&lt;&gt;"",$O85&lt;=$H$10),"LOCKED","OPEN")</f>
        <v/>
      </c>
      <c r="O85" s="25">
        <f>IF($B85="",$O84,$B85)</f>
        <v/>
      </c>
      <c r="S85" s="38">
        <f>$S84-IF($F85="",0,$F85)</f>
        <v/>
      </c>
      <c r="T85" s="38">
        <f>$T84+$J85</f>
        <v/>
      </c>
    </row>
    <row r="86">
      <c r="A86" s="39">
        <f>IF($F86="","",COUNT($F$14:$F86))</f>
        <v/>
      </c>
      <c r="B86" s="8" t="n"/>
      <c r="C86" s="6" t="n"/>
      <c r="D86" s="6" t="n"/>
      <c r="E86" s="40" t="n"/>
      <c r="F86" s="36" t="n"/>
      <c r="G86" s="41">
        <f>IF($B86="","",$S86)</f>
        <v/>
      </c>
      <c r="H86" s="42">
        <f>IF($I86&lt;=0,"",('Engine'!$B$8*MAX(0,MIN($O86,'Engine'!$B$3)-MAX($O85,'Engine'!$B$2))+'Engine'!$B$9*MAX(0,MIN($O86,'Engine'!$B$5)-MAX($O85,'Engine'!$B$4))+'Engine'!$B$10*MAX(0,MIN($O86,'Engine'!$B$7)-MAX($O85,'Engine'!$B$6)))/100/$H$8/$I86*$H$8*100)</f>
        <v/>
      </c>
      <c r="I86" s="43">
        <f>$O86-$O85</f>
        <v/>
      </c>
      <c r="J86" s="41">
        <f>IF($I86&lt;=0,0,$S85*('Engine'!$B$8*MAX(0,MIN($O86,'Engine'!$B$3)-MAX($O85,'Engine'!$B$2))+'Engine'!$B$9*MAX(0,MIN($O86,'Engine'!$B$5)-MAX($O85,'Engine'!$B$4))+'Engine'!$B$10*MAX(0,MIN($O86,'Engine'!$B$7)-MAX($O85,'Engine'!$B$6)))/100/$H$8)</f>
        <v/>
      </c>
      <c r="K86" s="41">
        <f>IF($B86="","",$T86)</f>
        <v/>
      </c>
      <c r="L86" s="36" t="n"/>
      <c r="M86" s="41">
        <f>IF($L86="","",ROUND($S86-$L86,2))</f>
        <v/>
      </c>
      <c r="N86" s="44">
        <f>IF(AND($H$10&lt;&gt;"",$O86&lt;=$H$10),"LOCKED","OPEN")</f>
        <v/>
      </c>
      <c r="O86" s="25">
        <f>IF($B86="",$O85,$B86)</f>
        <v/>
      </c>
      <c r="S86" s="38">
        <f>$S85-IF($F86="",0,$F86)</f>
        <v/>
      </c>
      <c r="T86" s="38">
        <f>$T85+$J86</f>
        <v/>
      </c>
    </row>
    <row r="87">
      <c r="A87" s="39">
        <f>IF($F87="","",COUNT($F$14:$F87))</f>
        <v/>
      </c>
      <c r="B87" s="8" t="n"/>
      <c r="C87" s="6" t="n"/>
      <c r="D87" s="6" t="n"/>
      <c r="E87" s="40" t="n"/>
      <c r="F87" s="36" t="n"/>
      <c r="G87" s="41">
        <f>IF($B87="","",$S87)</f>
        <v/>
      </c>
      <c r="H87" s="42">
        <f>IF($I87&lt;=0,"",('Engine'!$B$8*MAX(0,MIN($O87,'Engine'!$B$3)-MAX($O86,'Engine'!$B$2))+'Engine'!$B$9*MAX(0,MIN($O87,'Engine'!$B$5)-MAX($O86,'Engine'!$B$4))+'Engine'!$B$10*MAX(0,MIN($O87,'Engine'!$B$7)-MAX($O86,'Engine'!$B$6)))/100/$H$8/$I87*$H$8*100)</f>
        <v/>
      </c>
      <c r="I87" s="43">
        <f>$O87-$O86</f>
        <v/>
      </c>
      <c r="J87" s="41">
        <f>IF($I87&lt;=0,0,$S86*('Engine'!$B$8*MAX(0,MIN($O87,'Engine'!$B$3)-MAX($O86,'Engine'!$B$2))+'Engine'!$B$9*MAX(0,MIN($O87,'Engine'!$B$5)-MAX($O86,'Engine'!$B$4))+'Engine'!$B$10*MAX(0,MIN($O87,'Engine'!$B$7)-MAX($O86,'Engine'!$B$6)))/100/$H$8)</f>
        <v/>
      </c>
      <c r="K87" s="41">
        <f>IF($B87="","",$T87)</f>
        <v/>
      </c>
      <c r="L87" s="36" t="n"/>
      <c r="M87" s="41">
        <f>IF($L87="","",ROUND($S87-$L87,2))</f>
        <v/>
      </c>
      <c r="N87" s="44">
        <f>IF(AND($H$10&lt;&gt;"",$O87&lt;=$H$10),"LOCKED","OPEN")</f>
        <v/>
      </c>
      <c r="O87" s="25">
        <f>IF($B87="",$O86,$B87)</f>
        <v/>
      </c>
      <c r="S87" s="38">
        <f>$S86-IF($F87="",0,$F87)</f>
        <v/>
      </c>
      <c r="T87" s="38">
        <f>$T86+$J87</f>
        <v/>
      </c>
    </row>
    <row r="88">
      <c r="A88" s="39">
        <f>IF($F88="","",COUNT($F$14:$F88))</f>
        <v/>
      </c>
      <c r="B88" s="8" t="n"/>
      <c r="C88" s="6" t="n"/>
      <c r="D88" s="6" t="n"/>
      <c r="E88" s="40" t="n"/>
      <c r="F88" s="36" t="n"/>
      <c r="G88" s="41">
        <f>IF($B88="","",$S88)</f>
        <v/>
      </c>
      <c r="H88" s="42">
        <f>IF($I88&lt;=0,"",('Engine'!$B$8*MAX(0,MIN($O88,'Engine'!$B$3)-MAX($O87,'Engine'!$B$2))+'Engine'!$B$9*MAX(0,MIN($O88,'Engine'!$B$5)-MAX($O87,'Engine'!$B$4))+'Engine'!$B$10*MAX(0,MIN($O88,'Engine'!$B$7)-MAX($O87,'Engine'!$B$6)))/100/$H$8/$I88*$H$8*100)</f>
        <v/>
      </c>
      <c r="I88" s="43">
        <f>$O88-$O87</f>
        <v/>
      </c>
      <c r="J88" s="41">
        <f>IF($I88&lt;=0,0,$S87*('Engine'!$B$8*MAX(0,MIN($O88,'Engine'!$B$3)-MAX($O87,'Engine'!$B$2))+'Engine'!$B$9*MAX(0,MIN($O88,'Engine'!$B$5)-MAX($O87,'Engine'!$B$4))+'Engine'!$B$10*MAX(0,MIN($O88,'Engine'!$B$7)-MAX($O87,'Engine'!$B$6)))/100/$H$8)</f>
        <v/>
      </c>
      <c r="K88" s="41">
        <f>IF($B88="","",$T88)</f>
        <v/>
      </c>
      <c r="L88" s="36" t="n"/>
      <c r="M88" s="41">
        <f>IF($L88="","",ROUND($S88-$L88,2))</f>
        <v/>
      </c>
      <c r="N88" s="44">
        <f>IF(AND($H$10&lt;&gt;"",$O88&lt;=$H$10),"LOCKED","OPEN")</f>
        <v/>
      </c>
      <c r="O88" s="25">
        <f>IF($B88="",$O87,$B88)</f>
        <v/>
      </c>
      <c r="S88" s="38">
        <f>$S87-IF($F88="",0,$F88)</f>
        <v/>
      </c>
      <c r="T88" s="38">
        <f>$T87+$J88</f>
        <v/>
      </c>
    </row>
    <row r="89">
      <c r="A89" s="39">
        <f>IF($F89="","",COUNT($F$14:$F89))</f>
        <v/>
      </c>
      <c r="B89" s="8" t="n"/>
      <c r="C89" s="6" t="n"/>
      <c r="D89" s="6" t="n"/>
      <c r="E89" s="40" t="n"/>
      <c r="F89" s="36" t="n"/>
      <c r="G89" s="41">
        <f>IF($B89="","",$S89)</f>
        <v/>
      </c>
      <c r="H89" s="42">
        <f>IF($I89&lt;=0,"",('Engine'!$B$8*MAX(0,MIN($O89,'Engine'!$B$3)-MAX($O88,'Engine'!$B$2))+'Engine'!$B$9*MAX(0,MIN($O89,'Engine'!$B$5)-MAX($O88,'Engine'!$B$4))+'Engine'!$B$10*MAX(0,MIN($O89,'Engine'!$B$7)-MAX($O88,'Engine'!$B$6)))/100/$H$8/$I89*$H$8*100)</f>
        <v/>
      </c>
      <c r="I89" s="43">
        <f>$O89-$O88</f>
        <v/>
      </c>
      <c r="J89" s="41">
        <f>IF($I89&lt;=0,0,$S88*('Engine'!$B$8*MAX(0,MIN($O89,'Engine'!$B$3)-MAX($O88,'Engine'!$B$2))+'Engine'!$B$9*MAX(0,MIN($O89,'Engine'!$B$5)-MAX($O88,'Engine'!$B$4))+'Engine'!$B$10*MAX(0,MIN($O89,'Engine'!$B$7)-MAX($O88,'Engine'!$B$6)))/100/$H$8)</f>
        <v/>
      </c>
      <c r="K89" s="41">
        <f>IF($B89="","",$T89)</f>
        <v/>
      </c>
      <c r="L89" s="36" t="n"/>
      <c r="M89" s="41">
        <f>IF($L89="","",ROUND($S89-$L89,2))</f>
        <v/>
      </c>
      <c r="N89" s="44">
        <f>IF(AND($H$10&lt;&gt;"",$O89&lt;=$H$10),"LOCKED","OPEN")</f>
        <v/>
      </c>
      <c r="O89" s="25">
        <f>IF($B89="",$O88,$B89)</f>
        <v/>
      </c>
      <c r="S89" s="38">
        <f>$S88-IF($F89="",0,$F89)</f>
        <v/>
      </c>
      <c r="T89" s="38">
        <f>$T88+$J89</f>
        <v/>
      </c>
    </row>
    <row r="90">
      <c r="A90" s="39">
        <f>IF($F90="","",COUNT($F$14:$F90))</f>
        <v/>
      </c>
      <c r="B90" s="8" t="n"/>
      <c r="C90" s="6" t="n"/>
      <c r="D90" s="6" t="n"/>
      <c r="E90" s="40" t="n"/>
      <c r="F90" s="36" t="n"/>
      <c r="G90" s="41">
        <f>IF($B90="","",$S90)</f>
        <v/>
      </c>
      <c r="H90" s="42">
        <f>IF($I90&lt;=0,"",('Engine'!$B$8*MAX(0,MIN($O90,'Engine'!$B$3)-MAX($O89,'Engine'!$B$2))+'Engine'!$B$9*MAX(0,MIN($O90,'Engine'!$B$5)-MAX($O89,'Engine'!$B$4))+'Engine'!$B$10*MAX(0,MIN($O90,'Engine'!$B$7)-MAX($O89,'Engine'!$B$6)))/100/$H$8/$I90*$H$8*100)</f>
        <v/>
      </c>
      <c r="I90" s="43">
        <f>$O90-$O89</f>
        <v/>
      </c>
      <c r="J90" s="41">
        <f>IF($I90&lt;=0,0,$S89*('Engine'!$B$8*MAX(0,MIN($O90,'Engine'!$B$3)-MAX($O89,'Engine'!$B$2))+'Engine'!$B$9*MAX(0,MIN($O90,'Engine'!$B$5)-MAX($O89,'Engine'!$B$4))+'Engine'!$B$10*MAX(0,MIN($O90,'Engine'!$B$7)-MAX($O89,'Engine'!$B$6)))/100/$H$8)</f>
        <v/>
      </c>
      <c r="K90" s="41">
        <f>IF($B90="","",$T90)</f>
        <v/>
      </c>
      <c r="L90" s="36" t="n"/>
      <c r="M90" s="41">
        <f>IF($L90="","",ROUND($S90-$L90,2))</f>
        <v/>
      </c>
      <c r="N90" s="44">
        <f>IF(AND($H$10&lt;&gt;"",$O90&lt;=$H$10),"LOCKED","OPEN")</f>
        <v/>
      </c>
      <c r="O90" s="25">
        <f>IF($B90="",$O89,$B90)</f>
        <v/>
      </c>
      <c r="S90" s="38">
        <f>$S89-IF($F90="",0,$F90)</f>
        <v/>
      </c>
      <c r="T90" s="38">
        <f>$T89+$J90</f>
        <v/>
      </c>
    </row>
    <row r="91">
      <c r="A91" s="45" t="inlineStr">
        <is>
          <t>INT</t>
        </is>
      </c>
      <c r="B91" s="46">
        <f>$Q$79</f>
        <v/>
      </c>
      <c r="C91" s="47" t="n"/>
      <c r="D91" s="48">
        <f>"Interest for the quarter debited &amp; capitalised   ·   rate(s) applied :  "&amp;$R$79</f>
        <v/>
      </c>
      <c r="E91" s="49">
        <f>ROUND($T90+$J91,2)</f>
        <v/>
      </c>
      <c r="F91" s="50" t="n"/>
      <c r="G91" s="49">
        <f>$S91</f>
        <v/>
      </c>
      <c r="H91" s="51">
        <f>IF($I91&lt;=0,"",('Engine'!$B$8*MAX(0,MIN($O91,'Engine'!$B$3)-MAX($O90,'Engine'!$B$2))+'Engine'!$B$9*MAX(0,MIN($O91,'Engine'!$B$5)-MAX($O90,'Engine'!$B$4))+'Engine'!$B$10*MAX(0,MIN($O91,'Engine'!$B$7)-MAX($O90,'Engine'!$B$6)))/100/$H$8/$I91*$H$8*100)</f>
        <v/>
      </c>
      <c r="I91" s="52">
        <f>$O91-$O90</f>
        <v/>
      </c>
      <c r="J91" s="53">
        <f>IF($I91&lt;=0,0,$S90*('Engine'!$B$8*MAX(0,MIN($O91,'Engine'!$B$3)-MAX($O90,'Engine'!$B$2))+'Engine'!$B$9*MAX(0,MIN($O91,'Engine'!$B$5)-MAX($O90,'Engine'!$B$4))+'Engine'!$B$10*MAX(0,MIN($O91,'Engine'!$B$7)-MAX($O90,'Engine'!$B$6)))/100/$H$8)</f>
        <v/>
      </c>
      <c r="K91" s="53" t="n">
        <v>0</v>
      </c>
      <c r="L91" s="36" t="n"/>
      <c r="M91" s="53">
        <f>IF($L91="","",ROUND($S91-$L91,2))</f>
        <v/>
      </c>
      <c r="N91" s="54">
        <f>IF(AND($H$10&lt;&gt;"",$O91&lt;=$H$10),"LOCKED","OPEN")</f>
        <v/>
      </c>
      <c r="O91" s="25">
        <f>$Q$79</f>
        <v/>
      </c>
      <c r="S91" s="38">
        <f>$S90+$E91</f>
        <v/>
      </c>
      <c r="T91" s="38" t="n">
        <v>0</v>
      </c>
    </row>
    <row r="92" ht="18" customHeight="1">
      <c r="A92" s="24">
        <f>IF($P$92=0,"QUARTER 7          –  enter the Balance B/F date above to activate this quarter  –","QUARTER 7          "&amp;TEXT($P$92,"DD-MM-YYYY")&amp;"   to   "&amp;TEXT($Q$92,"DD-MM-YYYY")&amp;"          "&amp;IF(AND($H$10&lt;&gt;"",$Q$92&lt;=$H$10),"■ LOCKED – reconciled, no entry allowed","▷ OPEN for entry")&amp;"          RATE(S) APPLIED :  "&amp;$R$92)</f>
        <v/>
      </c>
      <c r="O92" s="25">
        <f>'Engine'!$E$8</f>
        <v/>
      </c>
      <c r="P92" s="25">
        <f>'Engine'!$E$8</f>
        <v/>
      </c>
      <c r="Q92" s="25">
        <f>'Engine'!$F$8</f>
        <v/>
      </c>
      <c r="R92" s="26">
        <f>'Engine'!$G$8</f>
        <v/>
      </c>
    </row>
    <row r="93">
      <c r="A93" s="27" t="inlineStr">
        <is>
          <t>B/F</t>
        </is>
      </c>
      <c r="B93" s="28">
        <f>$P$92</f>
        <v/>
      </c>
      <c r="C93" s="29" t="n"/>
      <c r="D93" s="30">
        <f>"Balance carried forward from quarter 6 – interest capitalised"</f>
        <v/>
      </c>
      <c r="E93" s="31" t="n"/>
      <c r="F93" s="31" t="n"/>
      <c r="G93" s="32">
        <f>$S$93</f>
        <v/>
      </c>
      <c r="H93" s="33" t="n"/>
      <c r="I93" s="34">
        <f>$O$93-$O$91</f>
        <v/>
      </c>
      <c r="J93" s="35" t="n">
        <v>0</v>
      </c>
      <c r="K93" s="35" t="n">
        <v>0</v>
      </c>
      <c r="L93" s="36" t="n"/>
      <c r="M93" s="35">
        <f>IF($L$93="","",ROUND($S$93-$L$93,2))</f>
        <v/>
      </c>
      <c r="N93" s="37">
        <f>IF(AND($H$10&lt;&gt;"",$O$93&lt;=$H$10),"LOCKED","OPEN")</f>
        <v/>
      </c>
      <c r="O93" s="25">
        <f>$P$92</f>
        <v/>
      </c>
      <c r="S93" s="38">
        <f>$S$91</f>
        <v/>
      </c>
      <c r="T93" s="38" t="n">
        <v>0</v>
      </c>
    </row>
    <row r="94">
      <c r="A94" s="39">
        <f>IF($F94="","",COUNT($F$14:$F94))</f>
        <v/>
      </c>
      <c r="B94" s="8" t="n">
        <v>46157</v>
      </c>
      <c r="C94" s="6" t="inlineStr">
        <is>
          <t>CHQ 123460</t>
        </is>
      </c>
      <c r="D94" s="6" t="inlineStr">
        <is>
          <t>Repayment by transfer</t>
        </is>
      </c>
      <c r="E94" s="40" t="n"/>
      <c r="F94" s="36" t="n">
        <v>250000</v>
      </c>
      <c r="G94" s="41">
        <f>IF($B94="","",$S94)</f>
        <v/>
      </c>
      <c r="H94" s="42">
        <f>IF($I94&lt;=0,"",('Engine'!$B$8*MAX(0,MIN($O94,'Engine'!$B$3)-MAX($O93,'Engine'!$B$2))+'Engine'!$B$9*MAX(0,MIN($O94,'Engine'!$B$5)-MAX($O93,'Engine'!$B$4))+'Engine'!$B$10*MAX(0,MIN($O94,'Engine'!$B$7)-MAX($O93,'Engine'!$B$6)))/100/$H$8/$I94*$H$8*100)</f>
        <v/>
      </c>
      <c r="I94" s="43">
        <f>$O94-$O93</f>
        <v/>
      </c>
      <c r="J94" s="41">
        <f>IF($I94&lt;=0,0,$S93*('Engine'!$B$8*MAX(0,MIN($O94,'Engine'!$B$3)-MAX($O93,'Engine'!$B$2))+'Engine'!$B$9*MAX(0,MIN($O94,'Engine'!$B$5)-MAX($O93,'Engine'!$B$4))+'Engine'!$B$10*MAX(0,MIN($O94,'Engine'!$B$7)-MAX($O93,'Engine'!$B$6)))/100/$H$8)</f>
        <v/>
      </c>
      <c r="K94" s="41">
        <f>IF($B94="","",$T94)</f>
        <v/>
      </c>
      <c r="L94" s="36" t="n"/>
      <c r="M94" s="41">
        <f>IF($L94="","",ROUND($S94-$L94,2))</f>
        <v/>
      </c>
      <c r="N94" s="44">
        <f>IF(AND($H$10&lt;&gt;"",$O94&lt;=$H$10),"LOCKED","OPEN")</f>
        <v/>
      </c>
      <c r="O94" s="25">
        <f>IF($B94="",$O93,$B94)</f>
        <v/>
      </c>
      <c r="S94" s="38">
        <f>$S93-IF($F94="",0,$F94)</f>
        <v/>
      </c>
      <c r="T94" s="38">
        <f>$T93+$J94</f>
        <v/>
      </c>
    </row>
    <row r="95">
      <c r="A95" s="39">
        <f>IF($F95="","",COUNT($F$14:$F95))</f>
        <v/>
      </c>
      <c r="B95" s="8" t="n"/>
      <c r="C95" s="6" t="n"/>
      <c r="D95" s="6" t="n"/>
      <c r="E95" s="40" t="n"/>
      <c r="F95" s="36" t="n"/>
      <c r="G95" s="41">
        <f>IF($B95="","",$S95)</f>
        <v/>
      </c>
      <c r="H95" s="42">
        <f>IF($I95&lt;=0,"",('Engine'!$B$8*MAX(0,MIN($O95,'Engine'!$B$3)-MAX($O94,'Engine'!$B$2))+'Engine'!$B$9*MAX(0,MIN($O95,'Engine'!$B$5)-MAX($O94,'Engine'!$B$4))+'Engine'!$B$10*MAX(0,MIN($O95,'Engine'!$B$7)-MAX($O94,'Engine'!$B$6)))/100/$H$8/$I95*$H$8*100)</f>
        <v/>
      </c>
      <c r="I95" s="43">
        <f>$O95-$O94</f>
        <v/>
      </c>
      <c r="J95" s="41">
        <f>IF($I95&lt;=0,0,$S94*('Engine'!$B$8*MAX(0,MIN($O95,'Engine'!$B$3)-MAX($O94,'Engine'!$B$2))+'Engine'!$B$9*MAX(0,MIN($O95,'Engine'!$B$5)-MAX($O94,'Engine'!$B$4))+'Engine'!$B$10*MAX(0,MIN($O95,'Engine'!$B$7)-MAX($O94,'Engine'!$B$6)))/100/$H$8)</f>
        <v/>
      </c>
      <c r="K95" s="41">
        <f>IF($B95="","",$T95)</f>
        <v/>
      </c>
      <c r="L95" s="36" t="n"/>
      <c r="M95" s="41">
        <f>IF($L95="","",ROUND($S95-$L95,2))</f>
        <v/>
      </c>
      <c r="N95" s="44">
        <f>IF(AND($H$10&lt;&gt;"",$O95&lt;=$H$10),"LOCKED","OPEN")</f>
        <v/>
      </c>
      <c r="O95" s="25">
        <f>IF($B95="",$O94,$B95)</f>
        <v/>
      </c>
      <c r="S95" s="38">
        <f>$S94-IF($F95="",0,$F95)</f>
        <v/>
      </c>
      <c r="T95" s="38">
        <f>$T94+$J95</f>
        <v/>
      </c>
    </row>
    <row r="96">
      <c r="A96" s="39">
        <f>IF($F96="","",COUNT($F$14:$F96))</f>
        <v/>
      </c>
      <c r="B96" s="8" t="n"/>
      <c r="C96" s="6" t="n"/>
      <c r="D96" s="6" t="n"/>
      <c r="E96" s="40" t="n"/>
      <c r="F96" s="36" t="n"/>
      <c r="G96" s="41">
        <f>IF($B96="","",$S96)</f>
        <v/>
      </c>
      <c r="H96" s="42">
        <f>IF($I96&lt;=0,"",('Engine'!$B$8*MAX(0,MIN($O96,'Engine'!$B$3)-MAX($O95,'Engine'!$B$2))+'Engine'!$B$9*MAX(0,MIN($O96,'Engine'!$B$5)-MAX($O95,'Engine'!$B$4))+'Engine'!$B$10*MAX(0,MIN($O96,'Engine'!$B$7)-MAX($O95,'Engine'!$B$6)))/100/$H$8/$I96*$H$8*100)</f>
        <v/>
      </c>
      <c r="I96" s="43">
        <f>$O96-$O95</f>
        <v/>
      </c>
      <c r="J96" s="41">
        <f>IF($I96&lt;=0,0,$S95*('Engine'!$B$8*MAX(0,MIN($O96,'Engine'!$B$3)-MAX($O95,'Engine'!$B$2))+'Engine'!$B$9*MAX(0,MIN($O96,'Engine'!$B$5)-MAX($O95,'Engine'!$B$4))+'Engine'!$B$10*MAX(0,MIN($O96,'Engine'!$B$7)-MAX($O95,'Engine'!$B$6)))/100/$H$8)</f>
        <v/>
      </c>
      <c r="K96" s="41">
        <f>IF($B96="","",$T96)</f>
        <v/>
      </c>
      <c r="L96" s="36" t="n"/>
      <c r="M96" s="41">
        <f>IF($L96="","",ROUND($S96-$L96,2))</f>
        <v/>
      </c>
      <c r="N96" s="44">
        <f>IF(AND($H$10&lt;&gt;"",$O96&lt;=$H$10),"LOCKED","OPEN")</f>
        <v/>
      </c>
      <c r="O96" s="25">
        <f>IF($B96="",$O95,$B96)</f>
        <v/>
      </c>
      <c r="S96" s="38">
        <f>$S95-IF($F96="",0,$F96)</f>
        <v/>
      </c>
      <c r="T96" s="38">
        <f>$T95+$J96</f>
        <v/>
      </c>
    </row>
    <row r="97">
      <c r="A97" s="39">
        <f>IF($F97="","",COUNT($F$14:$F97))</f>
        <v/>
      </c>
      <c r="B97" s="8" t="n"/>
      <c r="C97" s="6" t="n"/>
      <c r="D97" s="6" t="n"/>
      <c r="E97" s="40" t="n"/>
      <c r="F97" s="36" t="n"/>
      <c r="G97" s="41">
        <f>IF($B97="","",$S97)</f>
        <v/>
      </c>
      <c r="H97" s="42">
        <f>IF($I97&lt;=0,"",('Engine'!$B$8*MAX(0,MIN($O97,'Engine'!$B$3)-MAX($O96,'Engine'!$B$2))+'Engine'!$B$9*MAX(0,MIN($O97,'Engine'!$B$5)-MAX($O96,'Engine'!$B$4))+'Engine'!$B$10*MAX(0,MIN($O97,'Engine'!$B$7)-MAX($O96,'Engine'!$B$6)))/100/$H$8/$I97*$H$8*100)</f>
        <v/>
      </c>
      <c r="I97" s="43">
        <f>$O97-$O96</f>
        <v/>
      </c>
      <c r="J97" s="41">
        <f>IF($I97&lt;=0,0,$S96*('Engine'!$B$8*MAX(0,MIN($O97,'Engine'!$B$3)-MAX($O96,'Engine'!$B$2))+'Engine'!$B$9*MAX(0,MIN($O97,'Engine'!$B$5)-MAX($O96,'Engine'!$B$4))+'Engine'!$B$10*MAX(0,MIN($O97,'Engine'!$B$7)-MAX($O96,'Engine'!$B$6)))/100/$H$8)</f>
        <v/>
      </c>
      <c r="K97" s="41">
        <f>IF($B97="","",$T97)</f>
        <v/>
      </c>
      <c r="L97" s="36" t="n"/>
      <c r="M97" s="41">
        <f>IF($L97="","",ROUND($S97-$L97,2))</f>
        <v/>
      </c>
      <c r="N97" s="44">
        <f>IF(AND($H$10&lt;&gt;"",$O97&lt;=$H$10),"LOCKED","OPEN")</f>
        <v/>
      </c>
      <c r="O97" s="25">
        <f>IF($B97="",$O96,$B97)</f>
        <v/>
      </c>
      <c r="S97" s="38">
        <f>$S96-IF($F97="",0,$F97)</f>
        <v/>
      </c>
      <c r="T97" s="38">
        <f>$T96+$J97</f>
        <v/>
      </c>
    </row>
    <row r="98">
      <c r="A98" s="39">
        <f>IF($F98="","",COUNT($F$14:$F98))</f>
        <v/>
      </c>
      <c r="B98" s="8" t="n"/>
      <c r="C98" s="6" t="n"/>
      <c r="D98" s="6" t="n"/>
      <c r="E98" s="40" t="n"/>
      <c r="F98" s="36" t="n"/>
      <c r="G98" s="41">
        <f>IF($B98="","",$S98)</f>
        <v/>
      </c>
      <c r="H98" s="42">
        <f>IF($I98&lt;=0,"",('Engine'!$B$8*MAX(0,MIN($O98,'Engine'!$B$3)-MAX($O97,'Engine'!$B$2))+'Engine'!$B$9*MAX(0,MIN($O98,'Engine'!$B$5)-MAX($O97,'Engine'!$B$4))+'Engine'!$B$10*MAX(0,MIN($O98,'Engine'!$B$7)-MAX($O97,'Engine'!$B$6)))/100/$H$8/$I98*$H$8*100)</f>
        <v/>
      </c>
      <c r="I98" s="43">
        <f>$O98-$O97</f>
        <v/>
      </c>
      <c r="J98" s="41">
        <f>IF($I98&lt;=0,0,$S97*('Engine'!$B$8*MAX(0,MIN($O98,'Engine'!$B$3)-MAX($O97,'Engine'!$B$2))+'Engine'!$B$9*MAX(0,MIN($O98,'Engine'!$B$5)-MAX($O97,'Engine'!$B$4))+'Engine'!$B$10*MAX(0,MIN($O98,'Engine'!$B$7)-MAX($O97,'Engine'!$B$6)))/100/$H$8)</f>
        <v/>
      </c>
      <c r="K98" s="41">
        <f>IF($B98="","",$T98)</f>
        <v/>
      </c>
      <c r="L98" s="36" t="n"/>
      <c r="M98" s="41">
        <f>IF($L98="","",ROUND($S98-$L98,2))</f>
        <v/>
      </c>
      <c r="N98" s="44">
        <f>IF(AND($H$10&lt;&gt;"",$O98&lt;=$H$10),"LOCKED","OPEN")</f>
        <v/>
      </c>
      <c r="O98" s="25">
        <f>IF($B98="",$O97,$B98)</f>
        <v/>
      </c>
      <c r="S98" s="38">
        <f>$S97-IF($F98="",0,$F98)</f>
        <v/>
      </c>
      <c r="T98" s="38">
        <f>$T97+$J98</f>
        <v/>
      </c>
    </row>
    <row r="99">
      <c r="A99" s="39">
        <f>IF($F99="","",COUNT($F$14:$F99))</f>
        <v/>
      </c>
      <c r="B99" s="8" t="n"/>
      <c r="C99" s="6" t="n"/>
      <c r="D99" s="6" t="n"/>
      <c r="E99" s="40" t="n"/>
      <c r="F99" s="36" t="n"/>
      <c r="G99" s="41">
        <f>IF($B99="","",$S99)</f>
        <v/>
      </c>
      <c r="H99" s="42">
        <f>IF($I99&lt;=0,"",('Engine'!$B$8*MAX(0,MIN($O99,'Engine'!$B$3)-MAX($O98,'Engine'!$B$2))+'Engine'!$B$9*MAX(0,MIN($O99,'Engine'!$B$5)-MAX($O98,'Engine'!$B$4))+'Engine'!$B$10*MAX(0,MIN($O99,'Engine'!$B$7)-MAX($O98,'Engine'!$B$6)))/100/$H$8/$I99*$H$8*100)</f>
        <v/>
      </c>
      <c r="I99" s="43">
        <f>$O99-$O98</f>
        <v/>
      </c>
      <c r="J99" s="41">
        <f>IF($I99&lt;=0,0,$S98*('Engine'!$B$8*MAX(0,MIN($O99,'Engine'!$B$3)-MAX($O98,'Engine'!$B$2))+'Engine'!$B$9*MAX(0,MIN($O99,'Engine'!$B$5)-MAX($O98,'Engine'!$B$4))+'Engine'!$B$10*MAX(0,MIN($O99,'Engine'!$B$7)-MAX($O98,'Engine'!$B$6)))/100/$H$8)</f>
        <v/>
      </c>
      <c r="K99" s="41">
        <f>IF($B99="","",$T99)</f>
        <v/>
      </c>
      <c r="L99" s="36" t="n"/>
      <c r="M99" s="41">
        <f>IF($L99="","",ROUND($S99-$L99,2))</f>
        <v/>
      </c>
      <c r="N99" s="44">
        <f>IF(AND($H$10&lt;&gt;"",$O99&lt;=$H$10),"LOCKED","OPEN")</f>
        <v/>
      </c>
      <c r="O99" s="25">
        <f>IF($B99="",$O98,$B99)</f>
        <v/>
      </c>
      <c r="S99" s="38">
        <f>$S98-IF($F99="",0,$F99)</f>
        <v/>
      </c>
      <c r="T99" s="38">
        <f>$T98+$J99</f>
        <v/>
      </c>
    </row>
    <row r="100">
      <c r="A100" s="39">
        <f>IF($F100="","",COUNT($F$14:$F100))</f>
        <v/>
      </c>
      <c r="B100" s="8" t="n"/>
      <c r="C100" s="6" t="n"/>
      <c r="D100" s="6" t="n"/>
      <c r="E100" s="40" t="n"/>
      <c r="F100" s="36" t="n"/>
      <c r="G100" s="41">
        <f>IF($B100="","",$S100)</f>
        <v/>
      </c>
      <c r="H100" s="42">
        <f>IF($I100&lt;=0,"",('Engine'!$B$8*MAX(0,MIN($O100,'Engine'!$B$3)-MAX($O99,'Engine'!$B$2))+'Engine'!$B$9*MAX(0,MIN($O100,'Engine'!$B$5)-MAX($O99,'Engine'!$B$4))+'Engine'!$B$10*MAX(0,MIN($O100,'Engine'!$B$7)-MAX($O99,'Engine'!$B$6)))/100/$H$8/$I100*$H$8*100)</f>
        <v/>
      </c>
      <c r="I100" s="43">
        <f>$O100-$O99</f>
        <v/>
      </c>
      <c r="J100" s="41">
        <f>IF($I100&lt;=0,0,$S99*('Engine'!$B$8*MAX(0,MIN($O100,'Engine'!$B$3)-MAX($O99,'Engine'!$B$2))+'Engine'!$B$9*MAX(0,MIN($O100,'Engine'!$B$5)-MAX($O99,'Engine'!$B$4))+'Engine'!$B$10*MAX(0,MIN($O100,'Engine'!$B$7)-MAX($O99,'Engine'!$B$6)))/100/$H$8)</f>
        <v/>
      </c>
      <c r="K100" s="41">
        <f>IF($B100="","",$T100)</f>
        <v/>
      </c>
      <c r="L100" s="36" t="n"/>
      <c r="M100" s="41">
        <f>IF($L100="","",ROUND($S100-$L100,2))</f>
        <v/>
      </c>
      <c r="N100" s="44">
        <f>IF(AND($H$10&lt;&gt;"",$O100&lt;=$H$10),"LOCKED","OPEN")</f>
        <v/>
      </c>
      <c r="O100" s="25">
        <f>IF($B100="",$O99,$B100)</f>
        <v/>
      </c>
      <c r="S100" s="38">
        <f>$S99-IF($F100="",0,$F100)</f>
        <v/>
      </c>
      <c r="T100" s="38">
        <f>$T99+$J100</f>
        <v/>
      </c>
    </row>
    <row r="101">
      <c r="A101" s="39">
        <f>IF($F101="","",COUNT($F$14:$F101))</f>
        <v/>
      </c>
      <c r="B101" s="8" t="n"/>
      <c r="C101" s="6" t="n"/>
      <c r="D101" s="6" t="n"/>
      <c r="E101" s="40" t="n"/>
      <c r="F101" s="36" t="n"/>
      <c r="G101" s="41">
        <f>IF($B101="","",$S101)</f>
        <v/>
      </c>
      <c r="H101" s="42">
        <f>IF($I101&lt;=0,"",('Engine'!$B$8*MAX(0,MIN($O101,'Engine'!$B$3)-MAX($O100,'Engine'!$B$2))+'Engine'!$B$9*MAX(0,MIN($O101,'Engine'!$B$5)-MAX($O100,'Engine'!$B$4))+'Engine'!$B$10*MAX(0,MIN($O101,'Engine'!$B$7)-MAX($O100,'Engine'!$B$6)))/100/$H$8/$I101*$H$8*100)</f>
        <v/>
      </c>
      <c r="I101" s="43">
        <f>$O101-$O100</f>
        <v/>
      </c>
      <c r="J101" s="41">
        <f>IF($I101&lt;=0,0,$S100*('Engine'!$B$8*MAX(0,MIN($O101,'Engine'!$B$3)-MAX($O100,'Engine'!$B$2))+'Engine'!$B$9*MAX(0,MIN($O101,'Engine'!$B$5)-MAX($O100,'Engine'!$B$4))+'Engine'!$B$10*MAX(0,MIN($O101,'Engine'!$B$7)-MAX($O100,'Engine'!$B$6)))/100/$H$8)</f>
        <v/>
      </c>
      <c r="K101" s="41">
        <f>IF($B101="","",$T101)</f>
        <v/>
      </c>
      <c r="L101" s="36" t="n"/>
      <c r="M101" s="41">
        <f>IF($L101="","",ROUND($S101-$L101,2))</f>
        <v/>
      </c>
      <c r="N101" s="44">
        <f>IF(AND($H$10&lt;&gt;"",$O101&lt;=$H$10),"LOCKED","OPEN")</f>
        <v/>
      </c>
      <c r="O101" s="25">
        <f>IF($B101="",$O100,$B101)</f>
        <v/>
      </c>
      <c r="S101" s="38">
        <f>$S100-IF($F101="",0,$F101)</f>
        <v/>
      </c>
      <c r="T101" s="38">
        <f>$T100+$J101</f>
        <v/>
      </c>
    </row>
    <row r="102">
      <c r="A102" s="39">
        <f>IF($F102="","",COUNT($F$14:$F102))</f>
        <v/>
      </c>
      <c r="B102" s="8" t="n"/>
      <c r="C102" s="6" t="n"/>
      <c r="D102" s="6" t="n"/>
      <c r="E102" s="40" t="n"/>
      <c r="F102" s="36" t="n"/>
      <c r="G102" s="41">
        <f>IF($B102="","",$S102)</f>
        <v/>
      </c>
      <c r="H102" s="42">
        <f>IF($I102&lt;=0,"",('Engine'!$B$8*MAX(0,MIN($O102,'Engine'!$B$3)-MAX($O101,'Engine'!$B$2))+'Engine'!$B$9*MAX(0,MIN($O102,'Engine'!$B$5)-MAX($O101,'Engine'!$B$4))+'Engine'!$B$10*MAX(0,MIN($O102,'Engine'!$B$7)-MAX($O101,'Engine'!$B$6)))/100/$H$8/$I102*$H$8*100)</f>
        <v/>
      </c>
      <c r="I102" s="43">
        <f>$O102-$O101</f>
        <v/>
      </c>
      <c r="J102" s="41">
        <f>IF($I102&lt;=0,0,$S101*('Engine'!$B$8*MAX(0,MIN($O102,'Engine'!$B$3)-MAX($O101,'Engine'!$B$2))+'Engine'!$B$9*MAX(0,MIN($O102,'Engine'!$B$5)-MAX($O101,'Engine'!$B$4))+'Engine'!$B$10*MAX(0,MIN($O102,'Engine'!$B$7)-MAX($O101,'Engine'!$B$6)))/100/$H$8)</f>
        <v/>
      </c>
      <c r="K102" s="41">
        <f>IF($B102="","",$T102)</f>
        <v/>
      </c>
      <c r="L102" s="36" t="n"/>
      <c r="M102" s="41">
        <f>IF($L102="","",ROUND($S102-$L102,2))</f>
        <v/>
      </c>
      <c r="N102" s="44">
        <f>IF(AND($H$10&lt;&gt;"",$O102&lt;=$H$10),"LOCKED","OPEN")</f>
        <v/>
      </c>
      <c r="O102" s="25">
        <f>IF($B102="",$O101,$B102)</f>
        <v/>
      </c>
      <c r="S102" s="38">
        <f>$S101-IF($F102="",0,$F102)</f>
        <v/>
      </c>
      <c r="T102" s="38">
        <f>$T101+$J102</f>
        <v/>
      </c>
    </row>
    <row r="103">
      <c r="A103" s="39">
        <f>IF($F103="","",COUNT($F$14:$F103))</f>
        <v/>
      </c>
      <c r="B103" s="8" t="n"/>
      <c r="C103" s="6" t="n"/>
      <c r="D103" s="6" t="n"/>
      <c r="E103" s="40" t="n"/>
      <c r="F103" s="36" t="n"/>
      <c r="G103" s="41">
        <f>IF($B103="","",$S103)</f>
        <v/>
      </c>
      <c r="H103" s="42">
        <f>IF($I103&lt;=0,"",('Engine'!$B$8*MAX(0,MIN($O103,'Engine'!$B$3)-MAX($O102,'Engine'!$B$2))+'Engine'!$B$9*MAX(0,MIN($O103,'Engine'!$B$5)-MAX($O102,'Engine'!$B$4))+'Engine'!$B$10*MAX(0,MIN($O103,'Engine'!$B$7)-MAX($O102,'Engine'!$B$6)))/100/$H$8/$I103*$H$8*100)</f>
        <v/>
      </c>
      <c r="I103" s="43">
        <f>$O103-$O102</f>
        <v/>
      </c>
      <c r="J103" s="41">
        <f>IF($I103&lt;=0,0,$S102*('Engine'!$B$8*MAX(0,MIN($O103,'Engine'!$B$3)-MAX($O102,'Engine'!$B$2))+'Engine'!$B$9*MAX(0,MIN($O103,'Engine'!$B$5)-MAX($O102,'Engine'!$B$4))+'Engine'!$B$10*MAX(0,MIN($O103,'Engine'!$B$7)-MAX($O102,'Engine'!$B$6)))/100/$H$8)</f>
        <v/>
      </c>
      <c r="K103" s="41">
        <f>IF($B103="","",$T103)</f>
        <v/>
      </c>
      <c r="L103" s="36" t="n"/>
      <c r="M103" s="41">
        <f>IF($L103="","",ROUND($S103-$L103,2))</f>
        <v/>
      </c>
      <c r="N103" s="44">
        <f>IF(AND($H$10&lt;&gt;"",$O103&lt;=$H$10),"LOCKED","OPEN")</f>
        <v/>
      </c>
      <c r="O103" s="25">
        <f>IF($B103="",$O102,$B103)</f>
        <v/>
      </c>
      <c r="S103" s="38">
        <f>$S102-IF($F103="",0,$F103)</f>
        <v/>
      </c>
      <c r="T103" s="38">
        <f>$T102+$J103</f>
        <v/>
      </c>
    </row>
    <row r="104">
      <c r="A104" s="45" t="inlineStr">
        <is>
          <t>INT</t>
        </is>
      </c>
      <c r="B104" s="46">
        <f>$Q$92</f>
        <v/>
      </c>
      <c r="C104" s="47" t="n"/>
      <c r="D104" s="48">
        <f>"Interest for the quarter debited &amp; capitalised   ·   rate(s) applied :  "&amp;$R$92</f>
        <v/>
      </c>
      <c r="E104" s="49">
        <f>ROUND($T103+$J104,2)</f>
        <v/>
      </c>
      <c r="F104" s="50" t="n"/>
      <c r="G104" s="49">
        <f>$S104</f>
        <v/>
      </c>
      <c r="H104" s="51">
        <f>IF($I104&lt;=0,"",('Engine'!$B$8*MAX(0,MIN($O104,'Engine'!$B$3)-MAX($O103,'Engine'!$B$2))+'Engine'!$B$9*MAX(0,MIN($O104,'Engine'!$B$5)-MAX($O103,'Engine'!$B$4))+'Engine'!$B$10*MAX(0,MIN($O104,'Engine'!$B$7)-MAX($O103,'Engine'!$B$6)))/100/$H$8/$I104*$H$8*100)</f>
        <v/>
      </c>
      <c r="I104" s="52">
        <f>$O104-$O103</f>
        <v/>
      </c>
      <c r="J104" s="53">
        <f>IF($I104&lt;=0,0,$S103*('Engine'!$B$8*MAX(0,MIN($O104,'Engine'!$B$3)-MAX($O103,'Engine'!$B$2))+'Engine'!$B$9*MAX(0,MIN($O104,'Engine'!$B$5)-MAX($O103,'Engine'!$B$4))+'Engine'!$B$10*MAX(0,MIN($O104,'Engine'!$B$7)-MAX($O103,'Engine'!$B$6)))/100/$H$8)</f>
        <v/>
      </c>
      <c r="K104" s="53" t="n">
        <v>0</v>
      </c>
      <c r="L104" s="36" t="n"/>
      <c r="M104" s="53">
        <f>IF($L104="","",ROUND($S104-$L104,2))</f>
        <v/>
      </c>
      <c r="N104" s="54">
        <f>IF(AND($H$10&lt;&gt;"",$O104&lt;=$H$10),"LOCKED","OPEN")</f>
        <v/>
      </c>
      <c r="O104" s="25">
        <f>$Q$92</f>
        <v/>
      </c>
      <c r="S104" s="38">
        <f>$S103+$E104</f>
        <v/>
      </c>
      <c r="T104" s="38" t="n">
        <v>0</v>
      </c>
    </row>
    <row r="105" ht="18" customHeight="1">
      <c r="A105" s="24">
        <f>IF($P$105=0,"QUARTER 8          –  enter the Balance B/F date above to activate this quarter  –","QUARTER 8          "&amp;TEXT($P$105,"DD-MM-YYYY")&amp;"   to   "&amp;TEXT($Q$105,"DD-MM-YYYY")&amp;"          "&amp;IF(AND($H$10&lt;&gt;"",$Q$105&lt;=$H$10),"■ LOCKED – reconciled, no entry allowed","▷ OPEN for entry")&amp;"          RATE(S) APPLIED :  "&amp;$R$105)</f>
        <v/>
      </c>
      <c r="O105" s="25">
        <f>'Engine'!$E$9</f>
        <v/>
      </c>
      <c r="P105" s="25">
        <f>'Engine'!$E$9</f>
        <v/>
      </c>
      <c r="Q105" s="25">
        <f>'Engine'!$F$9</f>
        <v/>
      </c>
      <c r="R105" s="26">
        <f>'Engine'!$G$9</f>
        <v/>
      </c>
    </row>
    <row r="106">
      <c r="A106" s="27" t="inlineStr">
        <is>
          <t>B/F</t>
        </is>
      </c>
      <c r="B106" s="28">
        <f>$P$105</f>
        <v/>
      </c>
      <c r="C106" s="29" t="n"/>
      <c r="D106" s="30">
        <f>"Balance carried forward from quarter 7 – interest capitalised"</f>
        <v/>
      </c>
      <c r="E106" s="31" t="n"/>
      <c r="F106" s="31" t="n"/>
      <c r="G106" s="32">
        <f>$S$106</f>
        <v/>
      </c>
      <c r="H106" s="33" t="n"/>
      <c r="I106" s="34">
        <f>$O$106-$O$104</f>
        <v/>
      </c>
      <c r="J106" s="35" t="n">
        <v>0</v>
      </c>
      <c r="K106" s="35" t="n">
        <v>0</v>
      </c>
      <c r="L106" s="36" t="n"/>
      <c r="M106" s="35">
        <f>IF($L$106="","",ROUND($S$106-$L$106,2))</f>
        <v/>
      </c>
      <c r="N106" s="37">
        <f>IF(AND($H$10&lt;&gt;"",$O$106&lt;=$H$10),"LOCKED","OPEN")</f>
        <v/>
      </c>
      <c r="O106" s="25">
        <f>$P$105</f>
        <v/>
      </c>
      <c r="S106" s="38">
        <f>$S$104</f>
        <v/>
      </c>
      <c r="T106" s="38" t="n">
        <v>0</v>
      </c>
    </row>
    <row r="107">
      <c r="A107" s="39">
        <f>IF($F107="","",COUNT($F$14:$F107))</f>
        <v/>
      </c>
      <c r="B107" s="8" t="n"/>
      <c r="C107" s="6" t="n"/>
      <c r="D107" s="6" t="n"/>
      <c r="E107" s="40" t="n"/>
      <c r="F107" s="36" t="n"/>
      <c r="G107" s="41">
        <f>IF($B107="","",$S107)</f>
        <v/>
      </c>
      <c r="H107" s="42">
        <f>IF($I107&lt;=0,"",('Engine'!$B$8*MAX(0,MIN($O107,'Engine'!$B$3)-MAX($O106,'Engine'!$B$2))+'Engine'!$B$9*MAX(0,MIN($O107,'Engine'!$B$5)-MAX($O106,'Engine'!$B$4))+'Engine'!$B$10*MAX(0,MIN($O107,'Engine'!$B$7)-MAX($O106,'Engine'!$B$6)))/100/$H$8/$I107*$H$8*100)</f>
        <v/>
      </c>
      <c r="I107" s="43">
        <f>$O107-$O106</f>
        <v/>
      </c>
      <c r="J107" s="41">
        <f>IF($I107&lt;=0,0,$S106*('Engine'!$B$8*MAX(0,MIN($O107,'Engine'!$B$3)-MAX($O106,'Engine'!$B$2))+'Engine'!$B$9*MAX(0,MIN($O107,'Engine'!$B$5)-MAX($O106,'Engine'!$B$4))+'Engine'!$B$10*MAX(0,MIN($O107,'Engine'!$B$7)-MAX($O106,'Engine'!$B$6)))/100/$H$8)</f>
        <v/>
      </c>
      <c r="K107" s="41">
        <f>IF($B107="","",$T107)</f>
        <v/>
      </c>
      <c r="L107" s="36" t="n"/>
      <c r="M107" s="41">
        <f>IF($L107="","",ROUND($S107-$L107,2))</f>
        <v/>
      </c>
      <c r="N107" s="44">
        <f>IF(AND($H$10&lt;&gt;"",$O107&lt;=$H$10),"LOCKED","OPEN")</f>
        <v/>
      </c>
      <c r="O107" s="25">
        <f>IF($B107="",$O106,$B107)</f>
        <v/>
      </c>
      <c r="S107" s="38">
        <f>$S106-IF($F107="",0,$F107)</f>
        <v/>
      </c>
      <c r="T107" s="38">
        <f>$T106+$J107</f>
        <v/>
      </c>
    </row>
    <row r="108">
      <c r="A108" s="39">
        <f>IF($F108="","",COUNT($F$14:$F108))</f>
        <v/>
      </c>
      <c r="B108" s="8" t="n"/>
      <c r="C108" s="6" t="n"/>
      <c r="D108" s="6" t="n"/>
      <c r="E108" s="40" t="n"/>
      <c r="F108" s="36" t="n"/>
      <c r="G108" s="41">
        <f>IF($B108="","",$S108)</f>
        <v/>
      </c>
      <c r="H108" s="42">
        <f>IF($I108&lt;=0,"",('Engine'!$B$8*MAX(0,MIN($O108,'Engine'!$B$3)-MAX($O107,'Engine'!$B$2))+'Engine'!$B$9*MAX(0,MIN($O108,'Engine'!$B$5)-MAX($O107,'Engine'!$B$4))+'Engine'!$B$10*MAX(0,MIN($O108,'Engine'!$B$7)-MAX($O107,'Engine'!$B$6)))/100/$H$8/$I108*$H$8*100)</f>
        <v/>
      </c>
      <c r="I108" s="43">
        <f>$O108-$O107</f>
        <v/>
      </c>
      <c r="J108" s="41">
        <f>IF($I108&lt;=0,0,$S107*('Engine'!$B$8*MAX(0,MIN($O108,'Engine'!$B$3)-MAX($O107,'Engine'!$B$2))+'Engine'!$B$9*MAX(0,MIN($O108,'Engine'!$B$5)-MAX($O107,'Engine'!$B$4))+'Engine'!$B$10*MAX(0,MIN($O108,'Engine'!$B$7)-MAX($O107,'Engine'!$B$6)))/100/$H$8)</f>
        <v/>
      </c>
      <c r="K108" s="41">
        <f>IF($B108="","",$T108)</f>
        <v/>
      </c>
      <c r="L108" s="36" t="n"/>
      <c r="M108" s="41">
        <f>IF($L108="","",ROUND($S108-$L108,2))</f>
        <v/>
      </c>
      <c r="N108" s="44">
        <f>IF(AND($H$10&lt;&gt;"",$O108&lt;=$H$10),"LOCKED","OPEN")</f>
        <v/>
      </c>
      <c r="O108" s="25">
        <f>IF($B108="",$O107,$B108)</f>
        <v/>
      </c>
      <c r="S108" s="38">
        <f>$S107-IF($F108="",0,$F108)</f>
        <v/>
      </c>
      <c r="T108" s="38">
        <f>$T107+$J108</f>
        <v/>
      </c>
    </row>
    <row r="109">
      <c r="A109" s="39">
        <f>IF($F109="","",COUNT($F$14:$F109))</f>
        <v/>
      </c>
      <c r="B109" s="8" t="n"/>
      <c r="C109" s="6" t="n"/>
      <c r="D109" s="6" t="n"/>
      <c r="E109" s="40" t="n"/>
      <c r="F109" s="36" t="n"/>
      <c r="G109" s="41">
        <f>IF($B109="","",$S109)</f>
        <v/>
      </c>
      <c r="H109" s="42">
        <f>IF($I109&lt;=0,"",('Engine'!$B$8*MAX(0,MIN($O109,'Engine'!$B$3)-MAX($O108,'Engine'!$B$2))+'Engine'!$B$9*MAX(0,MIN($O109,'Engine'!$B$5)-MAX($O108,'Engine'!$B$4))+'Engine'!$B$10*MAX(0,MIN($O109,'Engine'!$B$7)-MAX($O108,'Engine'!$B$6)))/100/$H$8/$I109*$H$8*100)</f>
        <v/>
      </c>
      <c r="I109" s="43">
        <f>$O109-$O108</f>
        <v/>
      </c>
      <c r="J109" s="41">
        <f>IF($I109&lt;=0,0,$S108*('Engine'!$B$8*MAX(0,MIN($O109,'Engine'!$B$3)-MAX($O108,'Engine'!$B$2))+'Engine'!$B$9*MAX(0,MIN($O109,'Engine'!$B$5)-MAX($O108,'Engine'!$B$4))+'Engine'!$B$10*MAX(0,MIN($O109,'Engine'!$B$7)-MAX($O108,'Engine'!$B$6)))/100/$H$8)</f>
        <v/>
      </c>
      <c r="K109" s="41">
        <f>IF($B109="","",$T109)</f>
        <v/>
      </c>
      <c r="L109" s="36" t="n"/>
      <c r="M109" s="41">
        <f>IF($L109="","",ROUND($S109-$L109,2))</f>
        <v/>
      </c>
      <c r="N109" s="44">
        <f>IF(AND($H$10&lt;&gt;"",$O109&lt;=$H$10),"LOCKED","OPEN")</f>
        <v/>
      </c>
      <c r="O109" s="25">
        <f>IF($B109="",$O108,$B109)</f>
        <v/>
      </c>
      <c r="S109" s="38">
        <f>$S108-IF($F109="",0,$F109)</f>
        <v/>
      </c>
      <c r="T109" s="38">
        <f>$T108+$J109</f>
        <v/>
      </c>
    </row>
    <row r="110">
      <c r="A110" s="39">
        <f>IF($F110="","",COUNT($F$14:$F110))</f>
        <v/>
      </c>
      <c r="B110" s="8" t="n"/>
      <c r="C110" s="6" t="n"/>
      <c r="D110" s="6" t="n"/>
      <c r="E110" s="40" t="n"/>
      <c r="F110" s="36" t="n"/>
      <c r="G110" s="41">
        <f>IF($B110="","",$S110)</f>
        <v/>
      </c>
      <c r="H110" s="42">
        <f>IF($I110&lt;=0,"",('Engine'!$B$8*MAX(0,MIN($O110,'Engine'!$B$3)-MAX($O109,'Engine'!$B$2))+'Engine'!$B$9*MAX(0,MIN($O110,'Engine'!$B$5)-MAX($O109,'Engine'!$B$4))+'Engine'!$B$10*MAX(0,MIN($O110,'Engine'!$B$7)-MAX($O109,'Engine'!$B$6)))/100/$H$8/$I110*$H$8*100)</f>
        <v/>
      </c>
      <c r="I110" s="43">
        <f>$O110-$O109</f>
        <v/>
      </c>
      <c r="J110" s="41">
        <f>IF($I110&lt;=0,0,$S109*('Engine'!$B$8*MAX(0,MIN($O110,'Engine'!$B$3)-MAX($O109,'Engine'!$B$2))+'Engine'!$B$9*MAX(0,MIN($O110,'Engine'!$B$5)-MAX($O109,'Engine'!$B$4))+'Engine'!$B$10*MAX(0,MIN($O110,'Engine'!$B$7)-MAX($O109,'Engine'!$B$6)))/100/$H$8)</f>
        <v/>
      </c>
      <c r="K110" s="41">
        <f>IF($B110="","",$T110)</f>
        <v/>
      </c>
      <c r="L110" s="36" t="n"/>
      <c r="M110" s="41">
        <f>IF($L110="","",ROUND($S110-$L110,2))</f>
        <v/>
      </c>
      <c r="N110" s="44">
        <f>IF(AND($H$10&lt;&gt;"",$O110&lt;=$H$10),"LOCKED","OPEN")</f>
        <v/>
      </c>
      <c r="O110" s="25">
        <f>IF($B110="",$O109,$B110)</f>
        <v/>
      </c>
      <c r="S110" s="38">
        <f>$S109-IF($F110="",0,$F110)</f>
        <v/>
      </c>
      <c r="T110" s="38">
        <f>$T109+$J110</f>
        <v/>
      </c>
    </row>
    <row r="111">
      <c r="A111" s="39">
        <f>IF($F111="","",COUNT($F$14:$F111))</f>
        <v/>
      </c>
      <c r="B111" s="8" t="n"/>
      <c r="C111" s="6" t="n"/>
      <c r="D111" s="6" t="n"/>
      <c r="E111" s="40" t="n"/>
      <c r="F111" s="36" t="n"/>
      <c r="G111" s="41">
        <f>IF($B111="","",$S111)</f>
        <v/>
      </c>
      <c r="H111" s="42">
        <f>IF($I111&lt;=0,"",('Engine'!$B$8*MAX(0,MIN($O111,'Engine'!$B$3)-MAX($O110,'Engine'!$B$2))+'Engine'!$B$9*MAX(0,MIN($O111,'Engine'!$B$5)-MAX($O110,'Engine'!$B$4))+'Engine'!$B$10*MAX(0,MIN($O111,'Engine'!$B$7)-MAX($O110,'Engine'!$B$6)))/100/$H$8/$I111*$H$8*100)</f>
        <v/>
      </c>
      <c r="I111" s="43">
        <f>$O111-$O110</f>
        <v/>
      </c>
      <c r="J111" s="41">
        <f>IF($I111&lt;=0,0,$S110*('Engine'!$B$8*MAX(0,MIN($O111,'Engine'!$B$3)-MAX($O110,'Engine'!$B$2))+'Engine'!$B$9*MAX(0,MIN($O111,'Engine'!$B$5)-MAX($O110,'Engine'!$B$4))+'Engine'!$B$10*MAX(0,MIN($O111,'Engine'!$B$7)-MAX($O110,'Engine'!$B$6)))/100/$H$8)</f>
        <v/>
      </c>
      <c r="K111" s="41">
        <f>IF($B111="","",$T111)</f>
        <v/>
      </c>
      <c r="L111" s="36" t="n"/>
      <c r="M111" s="41">
        <f>IF($L111="","",ROUND($S111-$L111,2))</f>
        <v/>
      </c>
      <c r="N111" s="44">
        <f>IF(AND($H$10&lt;&gt;"",$O111&lt;=$H$10),"LOCKED","OPEN")</f>
        <v/>
      </c>
      <c r="O111" s="25">
        <f>IF($B111="",$O110,$B111)</f>
        <v/>
      </c>
      <c r="S111" s="38">
        <f>$S110-IF($F111="",0,$F111)</f>
        <v/>
      </c>
      <c r="T111" s="38">
        <f>$T110+$J111</f>
        <v/>
      </c>
    </row>
    <row r="112">
      <c r="A112" s="39">
        <f>IF($F112="","",COUNT($F$14:$F112))</f>
        <v/>
      </c>
      <c r="B112" s="8" t="n"/>
      <c r="C112" s="6" t="n"/>
      <c r="D112" s="6" t="n"/>
      <c r="E112" s="40" t="n"/>
      <c r="F112" s="36" t="n"/>
      <c r="G112" s="41">
        <f>IF($B112="","",$S112)</f>
        <v/>
      </c>
      <c r="H112" s="42">
        <f>IF($I112&lt;=0,"",('Engine'!$B$8*MAX(0,MIN($O112,'Engine'!$B$3)-MAX($O111,'Engine'!$B$2))+'Engine'!$B$9*MAX(0,MIN($O112,'Engine'!$B$5)-MAX($O111,'Engine'!$B$4))+'Engine'!$B$10*MAX(0,MIN($O112,'Engine'!$B$7)-MAX($O111,'Engine'!$B$6)))/100/$H$8/$I112*$H$8*100)</f>
        <v/>
      </c>
      <c r="I112" s="43">
        <f>$O112-$O111</f>
        <v/>
      </c>
      <c r="J112" s="41">
        <f>IF($I112&lt;=0,0,$S111*('Engine'!$B$8*MAX(0,MIN($O112,'Engine'!$B$3)-MAX($O111,'Engine'!$B$2))+'Engine'!$B$9*MAX(0,MIN($O112,'Engine'!$B$5)-MAX($O111,'Engine'!$B$4))+'Engine'!$B$10*MAX(0,MIN($O112,'Engine'!$B$7)-MAX($O111,'Engine'!$B$6)))/100/$H$8)</f>
        <v/>
      </c>
      <c r="K112" s="41">
        <f>IF($B112="","",$T112)</f>
        <v/>
      </c>
      <c r="L112" s="36" t="n"/>
      <c r="M112" s="41">
        <f>IF($L112="","",ROUND($S112-$L112,2))</f>
        <v/>
      </c>
      <c r="N112" s="44">
        <f>IF(AND($H$10&lt;&gt;"",$O112&lt;=$H$10),"LOCKED","OPEN")</f>
        <v/>
      </c>
      <c r="O112" s="25">
        <f>IF($B112="",$O111,$B112)</f>
        <v/>
      </c>
      <c r="S112" s="38">
        <f>$S111-IF($F112="",0,$F112)</f>
        <v/>
      </c>
      <c r="T112" s="38">
        <f>$T111+$J112</f>
        <v/>
      </c>
    </row>
    <row r="113">
      <c r="A113" s="39">
        <f>IF($F113="","",COUNT($F$14:$F113))</f>
        <v/>
      </c>
      <c r="B113" s="8" t="n"/>
      <c r="C113" s="6" t="n"/>
      <c r="D113" s="6" t="n"/>
      <c r="E113" s="40" t="n"/>
      <c r="F113" s="36" t="n"/>
      <c r="G113" s="41">
        <f>IF($B113="","",$S113)</f>
        <v/>
      </c>
      <c r="H113" s="42">
        <f>IF($I113&lt;=0,"",('Engine'!$B$8*MAX(0,MIN($O113,'Engine'!$B$3)-MAX($O112,'Engine'!$B$2))+'Engine'!$B$9*MAX(0,MIN($O113,'Engine'!$B$5)-MAX($O112,'Engine'!$B$4))+'Engine'!$B$10*MAX(0,MIN($O113,'Engine'!$B$7)-MAX($O112,'Engine'!$B$6)))/100/$H$8/$I113*$H$8*100)</f>
        <v/>
      </c>
      <c r="I113" s="43">
        <f>$O113-$O112</f>
        <v/>
      </c>
      <c r="J113" s="41">
        <f>IF($I113&lt;=0,0,$S112*('Engine'!$B$8*MAX(0,MIN($O113,'Engine'!$B$3)-MAX($O112,'Engine'!$B$2))+'Engine'!$B$9*MAX(0,MIN($O113,'Engine'!$B$5)-MAX($O112,'Engine'!$B$4))+'Engine'!$B$10*MAX(0,MIN($O113,'Engine'!$B$7)-MAX($O112,'Engine'!$B$6)))/100/$H$8)</f>
        <v/>
      </c>
      <c r="K113" s="41">
        <f>IF($B113="","",$T113)</f>
        <v/>
      </c>
      <c r="L113" s="36" t="n"/>
      <c r="M113" s="41">
        <f>IF($L113="","",ROUND($S113-$L113,2))</f>
        <v/>
      </c>
      <c r="N113" s="44">
        <f>IF(AND($H$10&lt;&gt;"",$O113&lt;=$H$10),"LOCKED","OPEN")</f>
        <v/>
      </c>
      <c r="O113" s="25">
        <f>IF($B113="",$O112,$B113)</f>
        <v/>
      </c>
      <c r="S113" s="38">
        <f>$S112-IF($F113="",0,$F113)</f>
        <v/>
      </c>
      <c r="T113" s="38">
        <f>$T112+$J113</f>
        <v/>
      </c>
    </row>
    <row r="114">
      <c r="A114" s="39">
        <f>IF($F114="","",COUNT($F$14:$F114))</f>
        <v/>
      </c>
      <c r="B114" s="8" t="n"/>
      <c r="C114" s="6" t="n"/>
      <c r="D114" s="6" t="n"/>
      <c r="E114" s="40" t="n"/>
      <c r="F114" s="36" t="n"/>
      <c r="G114" s="41">
        <f>IF($B114="","",$S114)</f>
        <v/>
      </c>
      <c r="H114" s="42">
        <f>IF($I114&lt;=0,"",('Engine'!$B$8*MAX(0,MIN($O114,'Engine'!$B$3)-MAX($O113,'Engine'!$B$2))+'Engine'!$B$9*MAX(0,MIN($O114,'Engine'!$B$5)-MAX($O113,'Engine'!$B$4))+'Engine'!$B$10*MAX(0,MIN($O114,'Engine'!$B$7)-MAX($O113,'Engine'!$B$6)))/100/$H$8/$I114*$H$8*100)</f>
        <v/>
      </c>
      <c r="I114" s="43">
        <f>$O114-$O113</f>
        <v/>
      </c>
      <c r="J114" s="41">
        <f>IF($I114&lt;=0,0,$S113*('Engine'!$B$8*MAX(0,MIN($O114,'Engine'!$B$3)-MAX($O113,'Engine'!$B$2))+'Engine'!$B$9*MAX(0,MIN($O114,'Engine'!$B$5)-MAX($O113,'Engine'!$B$4))+'Engine'!$B$10*MAX(0,MIN($O114,'Engine'!$B$7)-MAX($O113,'Engine'!$B$6)))/100/$H$8)</f>
        <v/>
      </c>
      <c r="K114" s="41">
        <f>IF($B114="","",$T114)</f>
        <v/>
      </c>
      <c r="L114" s="36" t="n"/>
      <c r="M114" s="41">
        <f>IF($L114="","",ROUND($S114-$L114,2))</f>
        <v/>
      </c>
      <c r="N114" s="44">
        <f>IF(AND($H$10&lt;&gt;"",$O114&lt;=$H$10),"LOCKED","OPEN")</f>
        <v/>
      </c>
      <c r="O114" s="25">
        <f>IF($B114="",$O113,$B114)</f>
        <v/>
      </c>
      <c r="S114" s="38">
        <f>$S113-IF($F114="",0,$F114)</f>
        <v/>
      </c>
      <c r="T114" s="38">
        <f>$T113+$J114</f>
        <v/>
      </c>
    </row>
    <row r="115">
      <c r="A115" s="39">
        <f>IF($F115="","",COUNT($F$14:$F115))</f>
        <v/>
      </c>
      <c r="B115" s="8" t="n"/>
      <c r="C115" s="6" t="n"/>
      <c r="D115" s="6" t="n"/>
      <c r="E115" s="40" t="n"/>
      <c r="F115" s="36" t="n"/>
      <c r="G115" s="41">
        <f>IF($B115="","",$S115)</f>
        <v/>
      </c>
      <c r="H115" s="42">
        <f>IF($I115&lt;=0,"",('Engine'!$B$8*MAX(0,MIN($O115,'Engine'!$B$3)-MAX($O114,'Engine'!$B$2))+'Engine'!$B$9*MAX(0,MIN($O115,'Engine'!$B$5)-MAX($O114,'Engine'!$B$4))+'Engine'!$B$10*MAX(0,MIN($O115,'Engine'!$B$7)-MAX($O114,'Engine'!$B$6)))/100/$H$8/$I115*$H$8*100)</f>
        <v/>
      </c>
      <c r="I115" s="43">
        <f>$O115-$O114</f>
        <v/>
      </c>
      <c r="J115" s="41">
        <f>IF($I115&lt;=0,0,$S114*('Engine'!$B$8*MAX(0,MIN($O115,'Engine'!$B$3)-MAX($O114,'Engine'!$B$2))+'Engine'!$B$9*MAX(0,MIN($O115,'Engine'!$B$5)-MAX($O114,'Engine'!$B$4))+'Engine'!$B$10*MAX(0,MIN($O115,'Engine'!$B$7)-MAX($O114,'Engine'!$B$6)))/100/$H$8)</f>
        <v/>
      </c>
      <c r="K115" s="41">
        <f>IF($B115="","",$T115)</f>
        <v/>
      </c>
      <c r="L115" s="36" t="n"/>
      <c r="M115" s="41">
        <f>IF($L115="","",ROUND($S115-$L115,2))</f>
        <v/>
      </c>
      <c r="N115" s="44">
        <f>IF(AND($H$10&lt;&gt;"",$O115&lt;=$H$10),"LOCKED","OPEN")</f>
        <v/>
      </c>
      <c r="O115" s="25">
        <f>IF($B115="",$O114,$B115)</f>
        <v/>
      </c>
      <c r="S115" s="38">
        <f>$S114-IF($F115="",0,$F115)</f>
        <v/>
      </c>
      <c r="T115" s="38">
        <f>$T114+$J115</f>
        <v/>
      </c>
    </row>
    <row r="116">
      <c r="A116" s="39">
        <f>IF($F116="","",COUNT($F$14:$F116))</f>
        <v/>
      </c>
      <c r="B116" s="8" t="n"/>
      <c r="C116" s="6" t="n"/>
      <c r="D116" s="6" t="n"/>
      <c r="E116" s="40" t="n"/>
      <c r="F116" s="36" t="n"/>
      <c r="G116" s="41">
        <f>IF($B116="","",$S116)</f>
        <v/>
      </c>
      <c r="H116" s="42">
        <f>IF($I116&lt;=0,"",('Engine'!$B$8*MAX(0,MIN($O116,'Engine'!$B$3)-MAX($O115,'Engine'!$B$2))+'Engine'!$B$9*MAX(0,MIN($O116,'Engine'!$B$5)-MAX($O115,'Engine'!$B$4))+'Engine'!$B$10*MAX(0,MIN($O116,'Engine'!$B$7)-MAX($O115,'Engine'!$B$6)))/100/$H$8/$I116*$H$8*100)</f>
        <v/>
      </c>
      <c r="I116" s="43">
        <f>$O116-$O115</f>
        <v/>
      </c>
      <c r="J116" s="41">
        <f>IF($I116&lt;=0,0,$S115*('Engine'!$B$8*MAX(0,MIN($O116,'Engine'!$B$3)-MAX($O115,'Engine'!$B$2))+'Engine'!$B$9*MAX(0,MIN($O116,'Engine'!$B$5)-MAX($O115,'Engine'!$B$4))+'Engine'!$B$10*MAX(0,MIN($O116,'Engine'!$B$7)-MAX($O115,'Engine'!$B$6)))/100/$H$8)</f>
        <v/>
      </c>
      <c r="K116" s="41">
        <f>IF($B116="","",$T116)</f>
        <v/>
      </c>
      <c r="L116" s="36" t="n"/>
      <c r="M116" s="41">
        <f>IF($L116="","",ROUND($S116-$L116,2))</f>
        <v/>
      </c>
      <c r="N116" s="44">
        <f>IF(AND($H$10&lt;&gt;"",$O116&lt;=$H$10),"LOCKED","OPEN")</f>
        <v/>
      </c>
      <c r="O116" s="25">
        <f>IF($B116="",$O115,$B116)</f>
        <v/>
      </c>
      <c r="S116" s="38">
        <f>$S115-IF($F116="",0,$F116)</f>
        <v/>
      </c>
      <c r="T116" s="38">
        <f>$T115+$J116</f>
        <v/>
      </c>
    </row>
    <row r="117">
      <c r="A117" s="45" t="inlineStr">
        <is>
          <t>INT</t>
        </is>
      </c>
      <c r="B117" s="46">
        <f>$Q$105</f>
        <v/>
      </c>
      <c r="C117" s="47" t="n"/>
      <c r="D117" s="48">
        <f>"Interest for the quarter debited &amp; capitalised   ·   rate(s) applied :  "&amp;$R$105</f>
        <v/>
      </c>
      <c r="E117" s="49">
        <f>ROUND($T116+$J117,2)</f>
        <v/>
      </c>
      <c r="F117" s="50" t="n"/>
      <c r="G117" s="49">
        <f>$S117</f>
        <v/>
      </c>
      <c r="H117" s="51">
        <f>IF($I117&lt;=0,"",('Engine'!$B$8*MAX(0,MIN($O117,'Engine'!$B$3)-MAX($O116,'Engine'!$B$2))+'Engine'!$B$9*MAX(0,MIN($O117,'Engine'!$B$5)-MAX($O116,'Engine'!$B$4))+'Engine'!$B$10*MAX(0,MIN($O117,'Engine'!$B$7)-MAX($O116,'Engine'!$B$6)))/100/$H$8/$I117*$H$8*100)</f>
        <v/>
      </c>
      <c r="I117" s="52">
        <f>$O117-$O116</f>
        <v/>
      </c>
      <c r="J117" s="53">
        <f>IF($I117&lt;=0,0,$S116*('Engine'!$B$8*MAX(0,MIN($O117,'Engine'!$B$3)-MAX($O116,'Engine'!$B$2))+'Engine'!$B$9*MAX(0,MIN($O117,'Engine'!$B$5)-MAX($O116,'Engine'!$B$4))+'Engine'!$B$10*MAX(0,MIN($O117,'Engine'!$B$7)-MAX($O116,'Engine'!$B$6)))/100/$H$8)</f>
        <v/>
      </c>
      <c r="K117" s="53" t="n">
        <v>0</v>
      </c>
      <c r="L117" s="36" t="n"/>
      <c r="M117" s="53">
        <f>IF($L117="","",ROUND($S117-$L117,2))</f>
        <v/>
      </c>
      <c r="N117" s="54">
        <f>IF(AND($H$10&lt;&gt;"",$O117&lt;=$H$10),"LOCKED","OPEN")</f>
        <v/>
      </c>
      <c r="O117" s="25">
        <f>$Q$105</f>
        <v/>
      </c>
      <c r="S117" s="38">
        <f>$S116+$E117</f>
        <v/>
      </c>
      <c r="T117" s="38" t="n">
        <v>0</v>
      </c>
    </row>
    <row r="118" ht="18" customHeight="1">
      <c r="A118" s="24">
        <f>IF($P$118=0,"QUARTER 9          –  enter the Balance B/F date above to activate this quarter  –","QUARTER 9          "&amp;TEXT($P$118,"DD-MM-YYYY")&amp;"   to   "&amp;TEXT($Q$118,"DD-MM-YYYY")&amp;"          "&amp;IF(AND($H$10&lt;&gt;"",$Q$118&lt;=$H$10),"■ LOCKED – reconciled, no entry allowed","▷ OPEN for entry")&amp;"          RATE(S) APPLIED :  "&amp;$R$118)</f>
        <v/>
      </c>
      <c r="O118" s="25">
        <f>'Engine'!$E$10</f>
        <v/>
      </c>
      <c r="P118" s="25">
        <f>'Engine'!$E$10</f>
        <v/>
      </c>
      <c r="Q118" s="25">
        <f>'Engine'!$F$10</f>
        <v/>
      </c>
      <c r="R118" s="26">
        <f>'Engine'!$G$10</f>
        <v/>
      </c>
    </row>
    <row r="119">
      <c r="A119" s="27" t="inlineStr">
        <is>
          <t>B/F</t>
        </is>
      </c>
      <c r="B119" s="28">
        <f>$P$118</f>
        <v/>
      </c>
      <c r="C119" s="29" t="n"/>
      <c r="D119" s="30">
        <f>"Balance carried forward from quarter 8 – interest capitalised"</f>
        <v/>
      </c>
      <c r="E119" s="31" t="n"/>
      <c r="F119" s="31" t="n"/>
      <c r="G119" s="32">
        <f>$S$119</f>
        <v/>
      </c>
      <c r="H119" s="33" t="n"/>
      <c r="I119" s="34">
        <f>$O$119-$O$117</f>
        <v/>
      </c>
      <c r="J119" s="35" t="n">
        <v>0</v>
      </c>
      <c r="K119" s="35" t="n">
        <v>0</v>
      </c>
      <c r="L119" s="36" t="n"/>
      <c r="M119" s="35">
        <f>IF($L$119="","",ROUND($S$119-$L$119,2))</f>
        <v/>
      </c>
      <c r="N119" s="37">
        <f>IF(AND($H$10&lt;&gt;"",$O$119&lt;=$H$10),"LOCKED","OPEN")</f>
        <v/>
      </c>
      <c r="O119" s="25">
        <f>$P$118</f>
        <v/>
      </c>
      <c r="S119" s="38">
        <f>$S$117</f>
        <v/>
      </c>
      <c r="T119" s="38" t="n">
        <v>0</v>
      </c>
    </row>
    <row r="120">
      <c r="A120" s="39">
        <f>IF($F120="","",COUNT($F$14:$F120))</f>
        <v/>
      </c>
      <c r="B120" s="8" t="n"/>
      <c r="C120" s="6" t="n"/>
      <c r="D120" s="6" t="n"/>
      <c r="E120" s="40" t="n"/>
      <c r="F120" s="36" t="n"/>
      <c r="G120" s="41">
        <f>IF($B120="","",$S120)</f>
        <v/>
      </c>
      <c r="H120" s="42">
        <f>IF($I120&lt;=0,"",('Engine'!$B$8*MAX(0,MIN($O120,'Engine'!$B$3)-MAX($O119,'Engine'!$B$2))+'Engine'!$B$9*MAX(0,MIN($O120,'Engine'!$B$5)-MAX($O119,'Engine'!$B$4))+'Engine'!$B$10*MAX(0,MIN($O120,'Engine'!$B$7)-MAX($O119,'Engine'!$B$6)))/100/$H$8/$I120*$H$8*100)</f>
        <v/>
      </c>
      <c r="I120" s="43">
        <f>$O120-$O119</f>
        <v/>
      </c>
      <c r="J120" s="41">
        <f>IF($I120&lt;=0,0,$S119*('Engine'!$B$8*MAX(0,MIN($O120,'Engine'!$B$3)-MAX($O119,'Engine'!$B$2))+'Engine'!$B$9*MAX(0,MIN($O120,'Engine'!$B$5)-MAX($O119,'Engine'!$B$4))+'Engine'!$B$10*MAX(0,MIN($O120,'Engine'!$B$7)-MAX($O119,'Engine'!$B$6)))/100/$H$8)</f>
        <v/>
      </c>
      <c r="K120" s="41">
        <f>IF($B120="","",$T120)</f>
        <v/>
      </c>
      <c r="L120" s="36" t="n"/>
      <c r="M120" s="41">
        <f>IF($L120="","",ROUND($S120-$L120,2))</f>
        <v/>
      </c>
      <c r="N120" s="44">
        <f>IF(AND($H$10&lt;&gt;"",$O120&lt;=$H$10),"LOCKED","OPEN")</f>
        <v/>
      </c>
      <c r="O120" s="25">
        <f>IF($B120="",$O119,$B120)</f>
        <v/>
      </c>
      <c r="S120" s="38">
        <f>$S119-IF($F120="",0,$F120)</f>
        <v/>
      </c>
      <c r="T120" s="38">
        <f>$T119+$J120</f>
        <v/>
      </c>
    </row>
    <row r="121">
      <c r="A121" s="39">
        <f>IF($F121="","",COUNT($F$14:$F121))</f>
        <v/>
      </c>
      <c r="B121" s="8" t="n"/>
      <c r="C121" s="6" t="n"/>
      <c r="D121" s="6" t="n"/>
      <c r="E121" s="40" t="n"/>
      <c r="F121" s="36" t="n"/>
      <c r="G121" s="41">
        <f>IF($B121="","",$S121)</f>
        <v/>
      </c>
      <c r="H121" s="42">
        <f>IF($I121&lt;=0,"",('Engine'!$B$8*MAX(0,MIN($O121,'Engine'!$B$3)-MAX($O120,'Engine'!$B$2))+'Engine'!$B$9*MAX(0,MIN($O121,'Engine'!$B$5)-MAX($O120,'Engine'!$B$4))+'Engine'!$B$10*MAX(0,MIN($O121,'Engine'!$B$7)-MAX($O120,'Engine'!$B$6)))/100/$H$8/$I121*$H$8*100)</f>
        <v/>
      </c>
      <c r="I121" s="43">
        <f>$O121-$O120</f>
        <v/>
      </c>
      <c r="J121" s="41">
        <f>IF($I121&lt;=0,0,$S120*('Engine'!$B$8*MAX(0,MIN($O121,'Engine'!$B$3)-MAX($O120,'Engine'!$B$2))+'Engine'!$B$9*MAX(0,MIN($O121,'Engine'!$B$5)-MAX($O120,'Engine'!$B$4))+'Engine'!$B$10*MAX(0,MIN($O121,'Engine'!$B$7)-MAX($O120,'Engine'!$B$6)))/100/$H$8)</f>
        <v/>
      </c>
      <c r="K121" s="41">
        <f>IF($B121="","",$T121)</f>
        <v/>
      </c>
      <c r="L121" s="36" t="n"/>
      <c r="M121" s="41">
        <f>IF($L121="","",ROUND($S121-$L121,2))</f>
        <v/>
      </c>
      <c r="N121" s="44">
        <f>IF(AND($H$10&lt;&gt;"",$O121&lt;=$H$10),"LOCKED","OPEN")</f>
        <v/>
      </c>
      <c r="O121" s="25">
        <f>IF($B121="",$O120,$B121)</f>
        <v/>
      </c>
      <c r="S121" s="38">
        <f>$S120-IF($F121="",0,$F121)</f>
        <v/>
      </c>
      <c r="T121" s="38">
        <f>$T120+$J121</f>
        <v/>
      </c>
    </row>
    <row r="122">
      <c r="A122" s="39">
        <f>IF($F122="","",COUNT($F$14:$F122))</f>
        <v/>
      </c>
      <c r="B122" s="8" t="n"/>
      <c r="C122" s="6" t="n"/>
      <c r="D122" s="6" t="n"/>
      <c r="E122" s="40" t="n"/>
      <c r="F122" s="36" t="n"/>
      <c r="G122" s="41">
        <f>IF($B122="","",$S122)</f>
        <v/>
      </c>
      <c r="H122" s="42">
        <f>IF($I122&lt;=0,"",('Engine'!$B$8*MAX(0,MIN($O122,'Engine'!$B$3)-MAX($O121,'Engine'!$B$2))+'Engine'!$B$9*MAX(0,MIN($O122,'Engine'!$B$5)-MAX($O121,'Engine'!$B$4))+'Engine'!$B$10*MAX(0,MIN($O122,'Engine'!$B$7)-MAX($O121,'Engine'!$B$6)))/100/$H$8/$I122*$H$8*100)</f>
        <v/>
      </c>
      <c r="I122" s="43">
        <f>$O122-$O121</f>
        <v/>
      </c>
      <c r="J122" s="41">
        <f>IF($I122&lt;=0,0,$S121*('Engine'!$B$8*MAX(0,MIN($O122,'Engine'!$B$3)-MAX($O121,'Engine'!$B$2))+'Engine'!$B$9*MAX(0,MIN($O122,'Engine'!$B$5)-MAX($O121,'Engine'!$B$4))+'Engine'!$B$10*MAX(0,MIN($O122,'Engine'!$B$7)-MAX($O121,'Engine'!$B$6)))/100/$H$8)</f>
        <v/>
      </c>
      <c r="K122" s="41">
        <f>IF($B122="","",$T122)</f>
        <v/>
      </c>
      <c r="L122" s="36" t="n"/>
      <c r="M122" s="41">
        <f>IF($L122="","",ROUND($S122-$L122,2))</f>
        <v/>
      </c>
      <c r="N122" s="44">
        <f>IF(AND($H$10&lt;&gt;"",$O122&lt;=$H$10),"LOCKED","OPEN")</f>
        <v/>
      </c>
      <c r="O122" s="25">
        <f>IF($B122="",$O121,$B122)</f>
        <v/>
      </c>
      <c r="S122" s="38">
        <f>$S121-IF($F122="",0,$F122)</f>
        <v/>
      </c>
      <c r="T122" s="38">
        <f>$T121+$J122</f>
        <v/>
      </c>
    </row>
    <row r="123">
      <c r="A123" s="39">
        <f>IF($F123="","",COUNT($F$14:$F123))</f>
        <v/>
      </c>
      <c r="B123" s="8" t="n"/>
      <c r="C123" s="6" t="n"/>
      <c r="D123" s="6" t="n"/>
      <c r="E123" s="40" t="n"/>
      <c r="F123" s="36" t="n"/>
      <c r="G123" s="41">
        <f>IF($B123="","",$S123)</f>
        <v/>
      </c>
      <c r="H123" s="42">
        <f>IF($I123&lt;=0,"",('Engine'!$B$8*MAX(0,MIN($O123,'Engine'!$B$3)-MAX($O122,'Engine'!$B$2))+'Engine'!$B$9*MAX(0,MIN($O123,'Engine'!$B$5)-MAX($O122,'Engine'!$B$4))+'Engine'!$B$10*MAX(0,MIN($O123,'Engine'!$B$7)-MAX($O122,'Engine'!$B$6)))/100/$H$8/$I123*$H$8*100)</f>
        <v/>
      </c>
      <c r="I123" s="43">
        <f>$O123-$O122</f>
        <v/>
      </c>
      <c r="J123" s="41">
        <f>IF($I123&lt;=0,0,$S122*('Engine'!$B$8*MAX(0,MIN($O123,'Engine'!$B$3)-MAX($O122,'Engine'!$B$2))+'Engine'!$B$9*MAX(0,MIN($O123,'Engine'!$B$5)-MAX($O122,'Engine'!$B$4))+'Engine'!$B$10*MAX(0,MIN($O123,'Engine'!$B$7)-MAX($O122,'Engine'!$B$6)))/100/$H$8)</f>
        <v/>
      </c>
      <c r="K123" s="41">
        <f>IF($B123="","",$T123)</f>
        <v/>
      </c>
      <c r="L123" s="36" t="n"/>
      <c r="M123" s="41">
        <f>IF($L123="","",ROUND($S123-$L123,2))</f>
        <v/>
      </c>
      <c r="N123" s="44">
        <f>IF(AND($H$10&lt;&gt;"",$O123&lt;=$H$10),"LOCKED","OPEN")</f>
        <v/>
      </c>
      <c r="O123" s="25">
        <f>IF($B123="",$O122,$B123)</f>
        <v/>
      </c>
      <c r="S123" s="38">
        <f>$S122-IF($F123="",0,$F123)</f>
        <v/>
      </c>
      <c r="T123" s="38">
        <f>$T122+$J123</f>
        <v/>
      </c>
    </row>
    <row r="124">
      <c r="A124" s="39">
        <f>IF($F124="","",COUNT($F$14:$F124))</f>
        <v/>
      </c>
      <c r="B124" s="8" t="n"/>
      <c r="C124" s="6" t="n"/>
      <c r="D124" s="6" t="n"/>
      <c r="E124" s="40" t="n"/>
      <c r="F124" s="36" t="n"/>
      <c r="G124" s="41">
        <f>IF($B124="","",$S124)</f>
        <v/>
      </c>
      <c r="H124" s="42">
        <f>IF($I124&lt;=0,"",('Engine'!$B$8*MAX(0,MIN($O124,'Engine'!$B$3)-MAX($O123,'Engine'!$B$2))+'Engine'!$B$9*MAX(0,MIN($O124,'Engine'!$B$5)-MAX($O123,'Engine'!$B$4))+'Engine'!$B$10*MAX(0,MIN($O124,'Engine'!$B$7)-MAX($O123,'Engine'!$B$6)))/100/$H$8/$I124*$H$8*100)</f>
        <v/>
      </c>
      <c r="I124" s="43">
        <f>$O124-$O123</f>
        <v/>
      </c>
      <c r="J124" s="41">
        <f>IF($I124&lt;=0,0,$S123*('Engine'!$B$8*MAX(0,MIN($O124,'Engine'!$B$3)-MAX($O123,'Engine'!$B$2))+'Engine'!$B$9*MAX(0,MIN($O124,'Engine'!$B$5)-MAX($O123,'Engine'!$B$4))+'Engine'!$B$10*MAX(0,MIN($O124,'Engine'!$B$7)-MAX($O123,'Engine'!$B$6)))/100/$H$8)</f>
        <v/>
      </c>
      <c r="K124" s="41">
        <f>IF($B124="","",$T124)</f>
        <v/>
      </c>
      <c r="L124" s="36" t="n"/>
      <c r="M124" s="41">
        <f>IF($L124="","",ROUND($S124-$L124,2))</f>
        <v/>
      </c>
      <c r="N124" s="44">
        <f>IF(AND($H$10&lt;&gt;"",$O124&lt;=$H$10),"LOCKED","OPEN")</f>
        <v/>
      </c>
      <c r="O124" s="25">
        <f>IF($B124="",$O123,$B124)</f>
        <v/>
      </c>
      <c r="S124" s="38">
        <f>$S123-IF($F124="",0,$F124)</f>
        <v/>
      </c>
      <c r="T124" s="38">
        <f>$T123+$J124</f>
        <v/>
      </c>
    </row>
    <row r="125">
      <c r="A125" s="39">
        <f>IF($F125="","",COUNT($F$14:$F125))</f>
        <v/>
      </c>
      <c r="B125" s="8" t="n"/>
      <c r="C125" s="6" t="n"/>
      <c r="D125" s="6" t="n"/>
      <c r="E125" s="40" t="n"/>
      <c r="F125" s="36" t="n"/>
      <c r="G125" s="41">
        <f>IF($B125="","",$S125)</f>
        <v/>
      </c>
      <c r="H125" s="42">
        <f>IF($I125&lt;=0,"",('Engine'!$B$8*MAX(0,MIN($O125,'Engine'!$B$3)-MAX($O124,'Engine'!$B$2))+'Engine'!$B$9*MAX(0,MIN($O125,'Engine'!$B$5)-MAX($O124,'Engine'!$B$4))+'Engine'!$B$10*MAX(0,MIN($O125,'Engine'!$B$7)-MAX($O124,'Engine'!$B$6)))/100/$H$8/$I125*$H$8*100)</f>
        <v/>
      </c>
      <c r="I125" s="43">
        <f>$O125-$O124</f>
        <v/>
      </c>
      <c r="J125" s="41">
        <f>IF($I125&lt;=0,0,$S124*('Engine'!$B$8*MAX(0,MIN($O125,'Engine'!$B$3)-MAX($O124,'Engine'!$B$2))+'Engine'!$B$9*MAX(0,MIN($O125,'Engine'!$B$5)-MAX($O124,'Engine'!$B$4))+'Engine'!$B$10*MAX(0,MIN($O125,'Engine'!$B$7)-MAX($O124,'Engine'!$B$6)))/100/$H$8)</f>
        <v/>
      </c>
      <c r="K125" s="41">
        <f>IF($B125="","",$T125)</f>
        <v/>
      </c>
      <c r="L125" s="36" t="n"/>
      <c r="M125" s="41">
        <f>IF($L125="","",ROUND($S125-$L125,2))</f>
        <v/>
      </c>
      <c r="N125" s="44">
        <f>IF(AND($H$10&lt;&gt;"",$O125&lt;=$H$10),"LOCKED","OPEN")</f>
        <v/>
      </c>
      <c r="O125" s="25">
        <f>IF($B125="",$O124,$B125)</f>
        <v/>
      </c>
      <c r="S125" s="38">
        <f>$S124-IF($F125="",0,$F125)</f>
        <v/>
      </c>
      <c r="T125" s="38">
        <f>$T124+$J125</f>
        <v/>
      </c>
    </row>
    <row r="126">
      <c r="A126" s="39">
        <f>IF($F126="","",COUNT($F$14:$F126))</f>
        <v/>
      </c>
      <c r="B126" s="8" t="n"/>
      <c r="C126" s="6" t="n"/>
      <c r="D126" s="6" t="n"/>
      <c r="E126" s="40" t="n"/>
      <c r="F126" s="36" t="n"/>
      <c r="G126" s="41">
        <f>IF($B126="","",$S126)</f>
        <v/>
      </c>
      <c r="H126" s="42">
        <f>IF($I126&lt;=0,"",('Engine'!$B$8*MAX(0,MIN($O126,'Engine'!$B$3)-MAX($O125,'Engine'!$B$2))+'Engine'!$B$9*MAX(0,MIN($O126,'Engine'!$B$5)-MAX($O125,'Engine'!$B$4))+'Engine'!$B$10*MAX(0,MIN($O126,'Engine'!$B$7)-MAX($O125,'Engine'!$B$6)))/100/$H$8/$I126*$H$8*100)</f>
        <v/>
      </c>
      <c r="I126" s="43">
        <f>$O126-$O125</f>
        <v/>
      </c>
      <c r="J126" s="41">
        <f>IF($I126&lt;=0,0,$S125*('Engine'!$B$8*MAX(0,MIN($O126,'Engine'!$B$3)-MAX($O125,'Engine'!$B$2))+'Engine'!$B$9*MAX(0,MIN($O126,'Engine'!$B$5)-MAX($O125,'Engine'!$B$4))+'Engine'!$B$10*MAX(0,MIN($O126,'Engine'!$B$7)-MAX($O125,'Engine'!$B$6)))/100/$H$8)</f>
        <v/>
      </c>
      <c r="K126" s="41">
        <f>IF($B126="","",$T126)</f>
        <v/>
      </c>
      <c r="L126" s="36" t="n"/>
      <c r="M126" s="41">
        <f>IF($L126="","",ROUND($S126-$L126,2))</f>
        <v/>
      </c>
      <c r="N126" s="44">
        <f>IF(AND($H$10&lt;&gt;"",$O126&lt;=$H$10),"LOCKED","OPEN")</f>
        <v/>
      </c>
      <c r="O126" s="25">
        <f>IF($B126="",$O125,$B126)</f>
        <v/>
      </c>
      <c r="S126" s="38">
        <f>$S125-IF($F126="",0,$F126)</f>
        <v/>
      </c>
      <c r="T126" s="38">
        <f>$T125+$J126</f>
        <v/>
      </c>
    </row>
    <row r="127">
      <c r="A127" s="39">
        <f>IF($F127="","",COUNT($F$14:$F127))</f>
        <v/>
      </c>
      <c r="B127" s="8" t="n"/>
      <c r="C127" s="6" t="n"/>
      <c r="D127" s="6" t="n"/>
      <c r="E127" s="40" t="n"/>
      <c r="F127" s="36" t="n"/>
      <c r="G127" s="41">
        <f>IF($B127="","",$S127)</f>
        <v/>
      </c>
      <c r="H127" s="42">
        <f>IF($I127&lt;=0,"",('Engine'!$B$8*MAX(0,MIN($O127,'Engine'!$B$3)-MAX($O126,'Engine'!$B$2))+'Engine'!$B$9*MAX(0,MIN($O127,'Engine'!$B$5)-MAX($O126,'Engine'!$B$4))+'Engine'!$B$10*MAX(0,MIN($O127,'Engine'!$B$7)-MAX($O126,'Engine'!$B$6)))/100/$H$8/$I127*$H$8*100)</f>
        <v/>
      </c>
      <c r="I127" s="43">
        <f>$O127-$O126</f>
        <v/>
      </c>
      <c r="J127" s="41">
        <f>IF($I127&lt;=0,0,$S126*('Engine'!$B$8*MAX(0,MIN($O127,'Engine'!$B$3)-MAX($O126,'Engine'!$B$2))+'Engine'!$B$9*MAX(0,MIN($O127,'Engine'!$B$5)-MAX($O126,'Engine'!$B$4))+'Engine'!$B$10*MAX(0,MIN($O127,'Engine'!$B$7)-MAX($O126,'Engine'!$B$6)))/100/$H$8)</f>
        <v/>
      </c>
      <c r="K127" s="41">
        <f>IF($B127="","",$T127)</f>
        <v/>
      </c>
      <c r="L127" s="36" t="n"/>
      <c r="M127" s="41">
        <f>IF($L127="","",ROUND($S127-$L127,2))</f>
        <v/>
      </c>
      <c r="N127" s="44">
        <f>IF(AND($H$10&lt;&gt;"",$O127&lt;=$H$10),"LOCKED","OPEN")</f>
        <v/>
      </c>
      <c r="O127" s="25">
        <f>IF($B127="",$O126,$B127)</f>
        <v/>
      </c>
      <c r="S127" s="38">
        <f>$S126-IF($F127="",0,$F127)</f>
        <v/>
      </c>
      <c r="T127" s="38">
        <f>$T126+$J127</f>
        <v/>
      </c>
    </row>
    <row r="128">
      <c r="A128" s="39">
        <f>IF($F128="","",COUNT($F$14:$F128))</f>
        <v/>
      </c>
      <c r="B128" s="8" t="n"/>
      <c r="C128" s="6" t="n"/>
      <c r="D128" s="6" t="n"/>
      <c r="E128" s="40" t="n"/>
      <c r="F128" s="36" t="n"/>
      <c r="G128" s="41">
        <f>IF($B128="","",$S128)</f>
        <v/>
      </c>
      <c r="H128" s="42">
        <f>IF($I128&lt;=0,"",('Engine'!$B$8*MAX(0,MIN($O128,'Engine'!$B$3)-MAX($O127,'Engine'!$B$2))+'Engine'!$B$9*MAX(0,MIN($O128,'Engine'!$B$5)-MAX($O127,'Engine'!$B$4))+'Engine'!$B$10*MAX(0,MIN($O128,'Engine'!$B$7)-MAX($O127,'Engine'!$B$6)))/100/$H$8/$I128*$H$8*100)</f>
        <v/>
      </c>
      <c r="I128" s="43">
        <f>$O128-$O127</f>
        <v/>
      </c>
      <c r="J128" s="41">
        <f>IF($I128&lt;=0,0,$S127*('Engine'!$B$8*MAX(0,MIN($O128,'Engine'!$B$3)-MAX($O127,'Engine'!$B$2))+'Engine'!$B$9*MAX(0,MIN($O128,'Engine'!$B$5)-MAX($O127,'Engine'!$B$4))+'Engine'!$B$10*MAX(0,MIN($O128,'Engine'!$B$7)-MAX($O127,'Engine'!$B$6)))/100/$H$8)</f>
        <v/>
      </c>
      <c r="K128" s="41">
        <f>IF($B128="","",$T128)</f>
        <v/>
      </c>
      <c r="L128" s="36" t="n"/>
      <c r="M128" s="41">
        <f>IF($L128="","",ROUND($S128-$L128,2))</f>
        <v/>
      </c>
      <c r="N128" s="44">
        <f>IF(AND($H$10&lt;&gt;"",$O128&lt;=$H$10),"LOCKED","OPEN")</f>
        <v/>
      </c>
      <c r="O128" s="25">
        <f>IF($B128="",$O127,$B128)</f>
        <v/>
      </c>
      <c r="S128" s="38">
        <f>$S127-IF($F128="",0,$F128)</f>
        <v/>
      </c>
      <c r="T128" s="38">
        <f>$T127+$J128</f>
        <v/>
      </c>
    </row>
    <row r="129">
      <c r="A129" s="39">
        <f>IF($F129="","",COUNT($F$14:$F129))</f>
        <v/>
      </c>
      <c r="B129" s="8" t="n"/>
      <c r="C129" s="6" t="n"/>
      <c r="D129" s="6" t="n"/>
      <c r="E129" s="40" t="n"/>
      <c r="F129" s="36" t="n"/>
      <c r="G129" s="41">
        <f>IF($B129="","",$S129)</f>
        <v/>
      </c>
      <c r="H129" s="42">
        <f>IF($I129&lt;=0,"",('Engine'!$B$8*MAX(0,MIN($O129,'Engine'!$B$3)-MAX($O128,'Engine'!$B$2))+'Engine'!$B$9*MAX(0,MIN($O129,'Engine'!$B$5)-MAX($O128,'Engine'!$B$4))+'Engine'!$B$10*MAX(0,MIN($O129,'Engine'!$B$7)-MAX($O128,'Engine'!$B$6)))/100/$H$8/$I129*$H$8*100)</f>
        <v/>
      </c>
      <c r="I129" s="43">
        <f>$O129-$O128</f>
        <v/>
      </c>
      <c r="J129" s="41">
        <f>IF($I129&lt;=0,0,$S128*('Engine'!$B$8*MAX(0,MIN($O129,'Engine'!$B$3)-MAX($O128,'Engine'!$B$2))+'Engine'!$B$9*MAX(0,MIN($O129,'Engine'!$B$5)-MAX($O128,'Engine'!$B$4))+'Engine'!$B$10*MAX(0,MIN($O129,'Engine'!$B$7)-MAX($O128,'Engine'!$B$6)))/100/$H$8)</f>
        <v/>
      </c>
      <c r="K129" s="41">
        <f>IF($B129="","",$T129)</f>
        <v/>
      </c>
      <c r="L129" s="36" t="n"/>
      <c r="M129" s="41">
        <f>IF($L129="","",ROUND($S129-$L129,2))</f>
        <v/>
      </c>
      <c r="N129" s="44">
        <f>IF(AND($H$10&lt;&gt;"",$O129&lt;=$H$10),"LOCKED","OPEN")</f>
        <v/>
      </c>
      <c r="O129" s="25">
        <f>IF($B129="",$O128,$B129)</f>
        <v/>
      </c>
      <c r="S129" s="38">
        <f>$S128-IF($F129="",0,$F129)</f>
        <v/>
      </c>
      <c r="T129" s="38">
        <f>$T128+$J129</f>
        <v/>
      </c>
    </row>
    <row r="130">
      <c r="A130" s="45" t="inlineStr">
        <is>
          <t>INT</t>
        </is>
      </c>
      <c r="B130" s="46">
        <f>$Q$118</f>
        <v/>
      </c>
      <c r="C130" s="47" t="n"/>
      <c r="D130" s="48">
        <f>"Interest for the quarter debited &amp; capitalised   ·   rate(s) applied :  "&amp;$R$118</f>
        <v/>
      </c>
      <c r="E130" s="49">
        <f>ROUND($T129+$J130,2)</f>
        <v/>
      </c>
      <c r="F130" s="50" t="n"/>
      <c r="G130" s="49">
        <f>$S130</f>
        <v/>
      </c>
      <c r="H130" s="51">
        <f>IF($I130&lt;=0,"",('Engine'!$B$8*MAX(0,MIN($O130,'Engine'!$B$3)-MAX($O129,'Engine'!$B$2))+'Engine'!$B$9*MAX(0,MIN($O130,'Engine'!$B$5)-MAX($O129,'Engine'!$B$4))+'Engine'!$B$10*MAX(0,MIN($O130,'Engine'!$B$7)-MAX($O129,'Engine'!$B$6)))/100/$H$8/$I130*$H$8*100)</f>
        <v/>
      </c>
      <c r="I130" s="52">
        <f>$O130-$O129</f>
        <v/>
      </c>
      <c r="J130" s="53">
        <f>IF($I130&lt;=0,0,$S129*('Engine'!$B$8*MAX(0,MIN($O130,'Engine'!$B$3)-MAX($O129,'Engine'!$B$2))+'Engine'!$B$9*MAX(0,MIN($O130,'Engine'!$B$5)-MAX($O129,'Engine'!$B$4))+'Engine'!$B$10*MAX(0,MIN($O130,'Engine'!$B$7)-MAX($O129,'Engine'!$B$6)))/100/$H$8)</f>
        <v/>
      </c>
      <c r="K130" s="53" t="n">
        <v>0</v>
      </c>
      <c r="L130" s="36" t="n"/>
      <c r="M130" s="53">
        <f>IF($L130="","",ROUND($S130-$L130,2))</f>
        <v/>
      </c>
      <c r="N130" s="54">
        <f>IF(AND($H$10&lt;&gt;"",$O130&lt;=$H$10),"LOCKED","OPEN")</f>
        <v/>
      </c>
      <c r="O130" s="25">
        <f>$Q$118</f>
        <v/>
      </c>
      <c r="S130" s="38">
        <f>$S129+$E130</f>
        <v/>
      </c>
      <c r="T130" s="38" t="n">
        <v>0</v>
      </c>
    </row>
    <row r="131" ht="18" customHeight="1">
      <c r="A131" s="24">
        <f>IF($P$131=0,"QUARTER 10          –  enter the Balance B/F date above to activate this quarter  –","QUARTER 10          "&amp;TEXT($P$131,"DD-MM-YYYY")&amp;"   to   "&amp;TEXT($Q$131,"DD-MM-YYYY")&amp;"          "&amp;IF(AND($H$10&lt;&gt;"",$Q$131&lt;=$H$10),"■ LOCKED – reconciled, no entry allowed","▷ OPEN for entry")&amp;"          RATE(S) APPLIED :  "&amp;$R$131)</f>
        <v/>
      </c>
      <c r="O131" s="25">
        <f>'Engine'!$E$11</f>
        <v/>
      </c>
      <c r="P131" s="25">
        <f>'Engine'!$E$11</f>
        <v/>
      </c>
      <c r="Q131" s="25">
        <f>'Engine'!$F$11</f>
        <v/>
      </c>
      <c r="R131" s="26">
        <f>'Engine'!$G$11</f>
        <v/>
      </c>
    </row>
    <row r="132">
      <c r="A132" s="27" t="inlineStr">
        <is>
          <t>B/F</t>
        </is>
      </c>
      <c r="B132" s="28">
        <f>$P$131</f>
        <v/>
      </c>
      <c r="C132" s="29" t="n"/>
      <c r="D132" s="30">
        <f>"Balance carried forward from quarter 9 – interest capitalised"</f>
        <v/>
      </c>
      <c r="E132" s="31" t="n"/>
      <c r="F132" s="31" t="n"/>
      <c r="G132" s="32">
        <f>$S$132</f>
        <v/>
      </c>
      <c r="H132" s="33" t="n"/>
      <c r="I132" s="34">
        <f>$O$132-$O$130</f>
        <v/>
      </c>
      <c r="J132" s="35" t="n">
        <v>0</v>
      </c>
      <c r="K132" s="35" t="n">
        <v>0</v>
      </c>
      <c r="L132" s="36" t="n"/>
      <c r="M132" s="35">
        <f>IF($L$132="","",ROUND($S$132-$L$132,2))</f>
        <v/>
      </c>
      <c r="N132" s="37">
        <f>IF(AND($H$10&lt;&gt;"",$O$132&lt;=$H$10),"LOCKED","OPEN")</f>
        <v/>
      </c>
      <c r="O132" s="25">
        <f>$P$131</f>
        <v/>
      </c>
      <c r="S132" s="38">
        <f>$S$130</f>
        <v/>
      </c>
      <c r="T132" s="38" t="n">
        <v>0</v>
      </c>
    </row>
    <row r="133">
      <c r="A133" s="39">
        <f>IF($F133="","",COUNT($F$14:$F133))</f>
        <v/>
      </c>
      <c r="B133" s="8" t="n"/>
      <c r="C133" s="6" t="n"/>
      <c r="D133" s="6" t="n"/>
      <c r="E133" s="40" t="n"/>
      <c r="F133" s="36" t="n"/>
      <c r="G133" s="41">
        <f>IF($B133="","",$S133)</f>
        <v/>
      </c>
      <c r="H133" s="42">
        <f>IF($I133&lt;=0,"",('Engine'!$B$8*MAX(0,MIN($O133,'Engine'!$B$3)-MAX($O132,'Engine'!$B$2))+'Engine'!$B$9*MAX(0,MIN($O133,'Engine'!$B$5)-MAX($O132,'Engine'!$B$4))+'Engine'!$B$10*MAX(0,MIN($O133,'Engine'!$B$7)-MAX($O132,'Engine'!$B$6)))/100/$H$8/$I133*$H$8*100)</f>
        <v/>
      </c>
      <c r="I133" s="43">
        <f>$O133-$O132</f>
        <v/>
      </c>
      <c r="J133" s="41">
        <f>IF($I133&lt;=0,0,$S132*('Engine'!$B$8*MAX(0,MIN($O133,'Engine'!$B$3)-MAX($O132,'Engine'!$B$2))+'Engine'!$B$9*MAX(0,MIN($O133,'Engine'!$B$5)-MAX($O132,'Engine'!$B$4))+'Engine'!$B$10*MAX(0,MIN($O133,'Engine'!$B$7)-MAX($O132,'Engine'!$B$6)))/100/$H$8)</f>
        <v/>
      </c>
      <c r="K133" s="41">
        <f>IF($B133="","",$T133)</f>
        <v/>
      </c>
      <c r="L133" s="36" t="n"/>
      <c r="M133" s="41">
        <f>IF($L133="","",ROUND($S133-$L133,2))</f>
        <v/>
      </c>
      <c r="N133" s="44">
        <f>IF(AND($H$10&lt;&gt;"",$O133&lt;=$H$10),"LOCKED","OPEN")</f>
        <v/>
      </c>
      <c r="O133" s="25">
        <f>IF($B133="",$O132,$B133)</f>
        <v/>
      </c>
      <c r="S133" s="38">
        <f>$S132-IF($F133="",0,$F133)</f>
        <v/>
      </c>
      <c r="T133" s="38">
        <f>$T132+$J133</f>
        <v/>
      </c>
    </row>
    <row r="134">
      <c r="A134" s="39">
        <f>IF($F134="","",COUNT($F$14:$F134))</f>
        <v/>
      </c>
      <c r="B134" s="8" t="n"/>
      <c r="C134" s="6" t="n"/>
      <c r="D134" s="6" t="n"/>
      <c r="E134" s="40" t="n"/>
      <c r="F134" s="36" t="n"/>
      <c r="G134" s="41">
        <f>IF($B134="","",$S134)</f>
        <v/>
      </c>
      <c r="H134" s="42">
        <f>IF($I134&lt;=0,"",('Engine'!$B$8*MAX(0,MIN($O134,'Engine'!$B$3)-MAX($O133,'Engine'!$B$2))+'Engine'!$B$9*MAX(0,MIN($O134,'Engine'!$B$5)-MAX($O133,'Engine'!$B$4))+'Engine'!$B$10*MAX(0,MIN($O134,'Engine'!$B$7)-MAX($O133,'Engine'!$B$6)))/100/$H$8/$I134*$H$8*100)</f>
        <v/>
      </c>
      <c r="I134" s="43">
        <f>$O134-$O133</f>
        <v/>
      </c>
      <c r="J134" s="41">
        <f>IF($I134&lt;=0,0,$S133*('Engine'!$B$8*MAX(0,MIN($O134,'Engine'!$B$3)-MAX($O133,'Engine'!$B$2))+'Engine'!$B$9*MAX(0,MIN($O134,'Engine'!$B$5)-MAX($O133,'Engine'!$B$4))+'Engine'!$B$10*MAX(0,MIN($O134,'Engine'!$B$7)-MAX($O133,'Engine'!$B$6)))/100/$H$8)</f>
        <v/>
      </c>
      <c r="K134" s="41">
        <f>IF($B134="","",$T134)</f>
        <v/>
      </c>
      <c r="L134" s="36" t="n"/>
      <c r="M134" s="41">
        <f>IF($L134="","",ROUND($S134-$L134,2))</f>
        <v/>
      </c>
      <c r="N134" s="44">
        <f>IF(AND($H$10&lt;&gt;"",$O134&lt;=$H$10),"LOCKED","OPEN")</f>
        <v/>
      </c>
      <c r="O134" s="25">
        <f>IF($B134="",$O133,$B134)</f>
        <v/>
      </c>
      <c r="S134" s="38">
        <f>$S133-IF($F134="",0,$F134)</f>
        <v/>
      </c>
      <c r="T134" s="38">
        <f>$T133+$J134</f>
        <v/>
      </c>
    </row>
    <row r="135">
      <c r="A135" s="39">
        <f>IF($F135="","",COUNT($F$14:$F135))</f>
        <v/>
      </c>
      <c r="B135" s="8" t="n"/>
      <c r="C135" s="6" t="n"/>
      <c r="D135" s="6" t="n"/>
      <c r="E135" s="40" t="n"/>
      <c r="F135" s="36" t="n"/>
      <c r="G135" s="41">
        <f>IF($B135="","",$S135)</f>
        <v/>
      </c>
      <c r="H135" s="42">
        <f>IF($I135&lt;=0,"",('Engine'!$B$8*MAX(0,MIN($O135,'Engine'!$B$3)-MAX($O134,'Engine'!$B$2))+'Engine'!$B$9*MAX(0,MIN($O135,'Engine'!$B$5)-MAX($O134,'Engine'!$B$4))+'Engine'!$B$10*MAX(0,MIN($O135,'Engine'!$B$7)-MAX($O134,'Engine'!$B$6)))/100/$H$8/$I135*$H$8*100)</f>
        <v/>
      </c>
      <c r="I135" s="43">
        <f>$O135-$O134</f>
        <v/>
      </c>
      <c r="J135" s="41">
        <f>IF($I135&lt;=0,0,$S134*('Engine'!$B$8*MAX(0,MIN($O135,'Engine'!$B$3)-MAX($O134,'Engine'!$B$2))+'Engine'!$B$9*MAX(0,MIN($O135,'Engine'!$B$5)-MAX($O134,'Engine'!$B$4))+'Engine'!$B$10*MAX(0,MIN($O135,'Engine'!$B$7)-MAX($O134,'Engine'!$B$6)))/100/$H$8)</f>
        <v/>
      </c>
      <c r="K135" s="41">
        <f>IF($B135="","",$T135)</f>
        <v/>
      </c>
      <c r="L135" s="36" t="n"/>
      <c r="M135" s="41">
        <f>IF($L135="","",ROUND($S135-$L135,2))</f>
        <v/>
      </c>
      <c r="N135" s="44">
        <f>IF(AND($H$10&lt;&gt;"",$O135&lt;=$H$10),"LOCKED","OPEN")</f>
        <v/>
      </c>
      <c r="O135" s="25">
        <f>IF($B135="",$O134,$B135)</f>
        <v/>
      </c>
      <c r="S135" s="38">
        <f>$S134-IF($F135="",0,$F135)</f>
        <v/>
      </c>
      <c r="T135" s="38">
        <f>$T134+$J135</f>
        <v/>
      </c>
    </row>
    <row r="136">
      <c r="A136" s="39">
        <f>IF($F136="","",COUNT($F$14:$F136))</f>
        <v/>
      </c>
      <c r="B136" s="8" t="n"/>
      <c r="C136" s="6" t="n"/>
      <c r="D136" s="6" t="n"/>
      <c r="E136" s="40" t="n"/>
      <c r="F136" s="36" t="n"/>
      <c r="G136" s="41">
        <f>IF($B136="","",$S136)</f>
        <v/>
      </c>
      <c r="H136" s="42">
        <f>IF($I136&lt;=0,"",('Engine'!$B$8*MAX(0,MIN($O136,'Engine'!$B$3)-MAX($O135,'Engine'!$B$2))+'Engine'!$B$9*MAX(0,MIN($O136,'Engine'!$B$5)-MAX($O135,'Engine'!$B$4))+'Engine'!$B$10*MAX(0,MIN($O136,'Engine'!$B$7)-MAX($O135,'Engine'!$B$6)))/100/$H$8/$I136*$H$8*100)</f>
        <v/>
      </c>
      <c r="I136" s="43">
        <f>$O136-$O135</f>
        <v/>
      </c>
      <c r="J136" s="41">
        <f>IF($I136&lt;=0,0,$S135*('Engine'!$B$8*MAX(0,MIN($O136,'Engine'!$B$3)-MAX($O135,'Engine'!$B$2))+'Engine'!$B$9*MAX(0,MIN($O136,'Engine'!$B$5)-MAX($O135,'Engine'!$B$4))+'Engine'!$B$10*MAX(0,MIN($O136,'Engine'!$B$7)-MAX($O135,'Engine'!$B$6)))/100/$H$8)</f>
        <v/>
      </c>
      <c r="K136" s="41">
        <f>IF($B136="","",$T136)</f>
        <v/>
      </c>
      <c r="L136" s="36" t="n"/>
      <c r="M136" s="41">
        <f>IF($L136="","",ROUND($S136-$L136,2))</f>
        <v/>
      </c>
      <c r="N136" s="44">
        <f>IF(AND($H$10&lt;&gt;"",$O136&lt;=$H$10),"LOCKED","OPEN")</f>
        <v/>
      </c>
      <c r="O136" s="25">
        <f>IF($B136="",$O135,$B136)</f>
        <v/>
      </c>
      <c r="S136" s="38">
        <f>$S135-IF($F136="",0,$F136)</f>
        <v/>
      </c>
      <c r="T136" s="38">
        <f>$T135+$J136</f>
        <v/>
      </c>
    </row>
    <row r="137">
      <c r="A137" s="39">
        <f>IF($F137="","",COUNT($F$14:$F137))</f>
        <v/>
      </c>
      <c r="B137" s="8" t="n"/>
      <c r="C137" s="6" t="n"/>
      <c r="D137" s="6" t="n"/>
      <c r="E137" s="40" t="n"/>
      <c r="F137" s="36" t="n"/>
      <c r="G137" s="41">
        <f>IF($B137="","",$S137)</f>
        <v/>
      </c>
      <c r="H137" s="42">
        <f>IF($I137&lt;=0,"",('Engine'!$B$8*MAX(0,MIN($O137,'Engine'!$B$3)-MAX($O136,'Engine'!$B$2))+'Engine'!$B$9*MAX(0,MIN($O137,'Engine'!$B$5)-MAX($O136,'Engine'!$B$4))+'Engine'!$B$10*MAX(0,MIN($O137,'Engine'!$B$7)-MAX($O136,'Engine'!$B$6)))/100/$H$8/$I137*$H$8*100)</f>
        <v/>
      </c>
      <c r="I137" s="43">
        <f>$O137-$O136</f>
        <v/>
      </c>
      <c r="J137" s="41">
        <f>IF($I137&lt;=0,0,$S136*('Engine'!$B$8*MAX(0,MIN($O137,'Engine'!$B$3)-MAX($O136,'Engine'!$B$2))+'Engine'!$B$9*MAX(0,MIN($O137,'Engine'!$B$5)-MAX($O136,'Engine'!$B$4))+'Engine'!$B$10*MAX(0,MIN($O137,'Engine'!$B$7)-MAX($O136,'Engine'!$B$6)))/100/$H$8)</f>
        <v/>
      </c>
      <c r="K137" s="41">
        <f>IF($B137="","",$T137)</f>
        <v/>
      </c>
      <c r="L137" s="36" t="n"/>
      <c r="M137" s="41">
        <f>IF($L137="","",ROUND($S137-$L137,2))</f>
        <v/>
      </c>
      <c r="N137" s="44">
        <f>IF(AND($H$10&lt;&gt;"",$O137&lt;=$H$10),"LOCKED","OPEN")</f>
        <v/>
      </c>
      <c r="O137" s="25">
        <f>IF($B137="",$O136,$B137)</f>
        <v/>
      </c>
      <c r="S137" s="38">
        <f>$S136-IF($F137="",0,$F137)</f>
        <v/>
      </c>
      <c r="T137" s="38">
        <f>$T136+$J137</f>
        <v/>
      </c>
    </row>
    <row r="138">
      <c r="A138" s="39">
        <f>IF($F138="","",COUNT($F$14:$F138))</f>
        <v/>
      </c>
      <c r="B138" s="8" t="n"/>
      <c r="C138" s="6" t="n"/>
      <c r="D138" s="6" t="n"/>
      <c r="E138" s="40" t="n"/>
      <c r="F138" s="36" t="n"/>
      <c r="G138" s="41">
        <f>IF($B138="","",$S138)</f>
        <v/>
      </c>
      <c r="H138" s="42">
        <f>IF($I138&lt;=0,"",('Engine'!$B$8*MAX(0,MIN($O138,'Engine'!$B$3)-MAX($O137,'Engine'!$B$2))+'Engine'!$B$9*MAX(0,MIN($O138,'Engine'!$B$5)-MAX($O137,'Engine'!$B$4))+'Engine'!$B$10*MAX(0,MIN($O138,'Engine'!$B$7)-MAX($O137,'Engine'!$B$6)))/100/$H$8/$I138*$H$8*100)</f>
        <v/>
      </c>
      <c r="I138" s="43">
        <f>$O138-$O137</f>
        <v/>
      </c>
      <c r="J138" s="41">
        <f>IF($I138&lt;=0,0,$S137*('Engine'!$B$8*MAX(0,MIN($O138,'Engine'!$B$3)-MAX($O137,'Engine'!$B$2))+'Engine'!$B$9*MAX(0,MIN($O138,'Engine'!$B$5)-MAX($O137,'Engine'!$B$4))+'Engine'!$B$10*MAX(0,MIN($O138,'Engine'!$B$7)-MAX($O137,'Engine'!$B$6)))/100/$H$8)</f>
        <v/>
      </c>
      <c r="K138" s="41">
        <f>IF($B138="","",$T138)</f>
        <v/>
      </c>
      <c r="L138" s="36" t="n"/>
      <c r="M138" s="41">
        <f>IF($L138="","",ROUND($S138-$L138,2))</f>
        <v/>
      </c>
      <c r="N138" s="44">
        <f>IF(AND($H$10&lt;&gt;"",$O138&lt;=$H$10),"LOCKED","OPEN")</f>
        <v/>
      </c>
      <c r="O138" s="25">
        <f>IF($B138="",$O137,$B138)</f>
        <v/>
      </c>
      <c r="S138" s="38">
        <f>$S137-IF($F138="",0,$F138)</f>
        <v/>
      </c>
      <c r="T138" s="38">
        <f>$T137+$J138</f>
        <v/>
      </c>
    </row>
    <row r="139">
      <c r="A139" s="39">
        <f>IF($F139="","",COUNT($F$14:$F139))</f>
        <v/>
      </c>
      <c r="B139" s="8" t="n"/>
      <c r="C139" s="6" t="n"/>
      <c r="D139" s="6" t="n"/>
      <c r="E139" s="40" t="n"/>
      <c r="F139" s="36" t="n"/>
      <c r="G139" s="41">
        <f>IF($B139="","",$S139)</f>
        <v/>
      </c>
      <c r="H139" s="42">
        <f>IF($I139&lt;=0,"",('Engine'!$B$8*MAX(0,MIN($O139,'Engine'!$B$3)-MAX($O138,'Engine'!$B$2))+'Engine'!$B$9*MAX(0,MIN($O139,'Engine'!$B$5)-MAX($O138,'Engine'!$B$4))+'Engine'!$B$10*MAX(0,MIN($O139,'Engine'!$B$7)-MAX($O138,'Engine'!$B$6)))/100/$H$8/$I139*$H$8*100)</f>
        <v/>
      </c>
      <c r="I139" s="43">
        <f>$O139-$O138</f>
        <v/>
      </c>
      <c r="J139" s="41">
        <f>IF($I139&lt;=0,0,$S138*('Engine'!$B$8*MAX(0,MIN($O139,'Engine'!$B$3)-MAX($O138,'Engine'!$B$2))+'Engine'!$B$9*MAX(0,MIN($O139,'Engine'!$B$5)-MAX($O138,'Engine'!$B$4))+'Engine'!$B$10*MAX(0,MIN($O139,'Engine'!$B$7)-MAX($O138,'Engine'!$B$6)))/100/$H$8)</f>
        <v/>
      </c>
      <c r="K139" s="41">
        <f>IF($B139="","",$T139)</f>
        <v/>
      </c>
      <c r="L139" s="36" t="n"/>
      <c r="M139" s="41">
        <f>IF($L139="","",ROUND($S139-$L139,2))</f>
        <v/>
      </c>
      <c r="N139" s="44">
        <f>IF(AND($H$10&lt;&gt;"",$O139&lt;=$H$10),"LOCKED","OPEN")</f>
        <v/>
      </c>
      <c r="O139" s="25">
        <f>IF($B139="",$O138,$B139)</f>
        <v/>
      </c>
      <c r="S139" s="38">
        <f>$S138-IF($F139="",0,$F139)</f>
        <v/>
      </c>
      <c r="T139" s="38">
        <f>$T138+$J139</f>
        <v/>
      </c>
    </row>
    <row r="140">
      <c r="A140" s="39">
        <f>IF($F140="","",COUNT($F$14:$F140))</f>
        <v/>
      </c>
      <c r="B140" s="8" t="n"/>
      <c r="C140" s="6" t="n"/>
      <c r="D140" s="6" t="n"/>
      <c r="E140" s="40" t="n"/>
      <c r="F140" s="36" t="n"/>
      <c r="G140" s="41">
        <f>IF($B140="","",$S140)</f>
        <v/>
      </c>
      <c r="H140" s="42">
        <f>IF($I140&lt;=0,"",('Engine'!$B$8*MAX(0,MIN($O140,'Engine'!$B$3)-MAX($O139,'Engine'!$B$2))+'Engine'!$B$9*MAX(0,MIN($O140,'Engine'!$B$5)-MAX($O139,'Engine'!$B$4))+'Engine'!$B$10*MAX(0,MIN($O140,'Engine'!$B$7)-MAX($O139,'Engine'!$B$6)))/100/$H$8/$I140*$H$8*100)</f>
        <v/>
      </c>
      <c r="I140" s="43">
        <f>$O140-$O139</f>
        <v/>
      </c>
      <c r="J140" s="41">
        <f>IF($I140&lt;=0,0,$S139*('Engine'!$B$8*MAX(0,MIN($O140,'Engine'!$B$3)-MAX($O139,'Engine'!$B$2))+'Engine'!$B$9*MAX(0,MIN($O140,'Engine'!$B$5)-MAX($O139,'Engine'!$B$4))+'Engine'!$B$10*MAX(0,MIN($O140,'Engine'!$B$7)-MAX($O139,'Engine'!$B$6)))/100/$H$8)</f>
        <v/>
      </c>
      <c r="K140" s="41">
        <f>IF($B140="","",$T140)</f>
        <v/>
      </c>
      <c r="L140" s="36" t="n"/>
      <c r="M140" s="41">
        <f>IF($L140="","",ROUND($S140-$L140,2))</f>
        <v/>
      </c>
      <c r="N140" s="44">
        <f>IF(AND($H$10&lt;&gt;"",$O140&lt;=$H$10),"LOCKED","OPEN")</f>
        <v/>
      </c>
      <c r="O140" s="25">
        <f>IF($B140="",$O139,$B140)</f>
        <v/>
      </c>
      <c r="S140" s="38">
        <f>$S139-IF($F140="",0,$F140)</f>
        <v/>
      </c>
      <c r="T140" s="38">
        <f>$T139+$J140</f>
        <v/>
      </c>
    </row>
    <row r="141">
      <c r="A141" s="39">
        <f>IF($F141="","",COUNT($F$14:$F141))</f>
        <v/>
      </c>
      <c r="B141" s="8" t="n"/>
      <c r="C141" s="6" t="n"/>
      <c r="D141" s="6" t="n"/>
      <c r="E141" s="40" t="n"/>
      <c r="F141" s="36" t="n"/>
      <c r="G141" s="41">
        <f>IF($B141="","",$S141)</f>
        <v/>
      </c>
      <c r="H141" s="42">
        <f>IF($I141&lt;=0,"",('Engine'!$B$8*MAX(0,MIN($O141,'Engine'!$B$3)-MAX($O140,'Engine'!$B$2))+'Engine'!$B$9*MAX(0,MIN($O141,'Engine'!$B$5)-MAX($O140,'Engine'!$B$4))+'Engine'!$B$10*MAX(0,MIN($O141,'Engine'!$B$7)-MAX($O140,'Engine'!$B$6)))/100/$H$8/$I141*$H$8*100)</f>
        <v/>
      </c>
      <c r="I141" s="43">
        <f>$O141-$O140</f>
        <v/>
      </c>
      <c r="J141" s="41">
        <f>IF($I141&lt;=0,0,$S140*('Engine'!$B$8*MAX(0,MIN($O141,'Engine'!$B$3)-MAX($O140,'Engine'!$B$2))+'Engine'!$B$9*MAX(0,MIN($O141,'Engine'!$B$5)-MAX($O140,'Engine'!$B$4))+'Engine'!$B$10*MAX(0,MIN($O141,'Engine'!$B$7)-MAX($O140,'Engine'!$B$6)))/100/$H$8)</f>
        <v/>
      </c>
      <c r="K141" s="41">
        <f>IF($B141="","",$T141)</f>
        <v/>
      </c>
      <c r="L141" s="36" t="n"/>
      <c r="M141" s="41">
        <f>IF($L141="","",ROUND($S141-$L141,2))</f>
        <v/>
      </c>
      <c r="N141" s="44">
        <f>IF(AND($H$10&lt;&gt;"",$O141&lt;=$H$10),"LOCKED","OPEN")</f>
        <v/>
      </c>
      <c r="O141" s="25">
        <f>IF($B141="",$O140,$B141)</f>
        <v/>
      </c>
      <c r="S141" s="38">
        <f>$S140-IF($F141="",0,$F141)</f>
        <v/>
      </c>
      <c r="T141" s="38">
        <f>$T140+$J141</f>
        <v/>
      </c>
    </row>
    <row r="142">
      <c r="A142" s="39">
        <f>IF($F142="","",COUNT($F$14:$F142))</f>
        <v/>
      </c>
      <c r="B142" s="8" t="n"/>
      <c r="C142" s="6" t="n"/>
      <c r="D142" s="6" t="n"/>
      <c r="E142" s="40" t="n"/>
      <c r="F142" s="36" t="n"/>
      <c r="G142" s="41">
        <f>IF($B142="","",$S142)</f>
        <v/>
      </c>
      <c r="H142" s="42">
        <f>IF($I142&lt;=0,"",('Engine'!$B$8*MAX(0,MIN($O142,'Engine'!$B$3)-MAX($O141,'Engine'!$B$2))+'Engine'!$B$9*MAX(0,MIN($O142,'Engine'!$B$5)-MAX($O141,'Engine'!$B$4))+'Engine'!$B$10*MAX(0,MIN($O142,'Engine'!$B$7)-MAX($O141,'Engine'!$B$6)))/100/$H$8/$I142*$H$8*100)</f>
        <v/>
      </c>
      <c r="I142" s="43">
        <f>$O142-$O141</f>
        <v/>
      </c>
      <c r="J142" s="41">
        <f>IF($I142&lt;=0,0,$S141*('Engine'!$B$8*MAX(0,MIN($O142,'Engine'!$B$3)-MAX($O141,'Engine'!$B$2))+'Engine'!$B$9*MAX(0,MIN($O142,'Engine'!$B$5)-MAX($O141,'Engine'!$B$4))+'Engine'!$B$10*MAX(0,MIN($O142,'Engine'!$B$7)-MAX($O141,'Engine'!$B$6)))/100/$H$8)</f>
        <v/>
      </c>
      <c r="K142" s="41">
        <f>IF($B142="","",$T142)</f>
        <v/>
      </c>
      <c r="L142" s="36" t="n"/>
      <c r="M142" s="41">
        <f>IF($L142="","",ROUND($S142-$L142,2))</f>
        <v/>
      </c>
      <c r="N142" s="44">
        <f>IF(AND($H$10&lt;&gt;"",$O142&lt;=$H$10),"LOCKED","OPEN")</f>
        <v/>
      </c>
      <c r="O142" s="25">
        <f>IF($B142="",$O141,$B142)</f>
        <v/>
      </c>
      <c r="S142" s="38">
        <f>$S141-IF($F142="",0,$F142)</f>
        <v/>
      </c>
      <c r="T142" s="38">
        <f>$T141+$J142</f>
        <v/>
      </c>
    </row>
    <row r="143">
      <c r="A143" s="45" t="inlineStr">
        <is>
          <t>INT</t>
        </is>
      </c>
      <c r="B143" s="46">
        <f>$Q$131</f>
        <v/>
      </c>
      <c r="C143" s="47" t="n"/>
      <c r="D143" s="48">
        <f>"Interest for the quarter debited &amp; capitalised   ·   rate(s) applied :  "&amp;$R$131</f>
        <v/>
      </c>
      <c r="E143" s="49">
        <f>ROUND($T142+$J143,2)</f>
        <v/>
      </c>
      <c r="F143" s="50" t="n"/>
      <c r="G143" s="49">
        <f>$S143</f>
        <v/>
      </c>
      <c r="H143" s="51">
        <f>IF($I143&lt;=0,"",('Engine'!$B$8*MAX(0,MIN($O143,'Engine'!$B$3)-MAX($O142,'Engine'!$B$2))+'Engine'!$B$9*MAX(0,MIN($O143,'Engine'!$B$5)-MAX($O142,'Engine'!$B$4))+'Engine'!$B$10*MAX(0,MIN($O143,'Engine'!$B$7)-MAX($O142,'Engine'!$B$6)))/100/$H$8/$I143*$H$8*100)</f>
        <v/>
      </c>
      <c r="I143" s="52">
        <f>$O143-$O142</f>
        <v/>
      </c>
      <c r="J143" s="53">
        <f>IF($I143&lt;=0,0,$S142*('Engine'!$B$8*MAX(0,MIN($O143,'Engine'!$B$3)-MAX($O142,'Engine'!$B$2))+'Engine'!$B$9*MAX(0,MIN($O143,'Engine'!$B$5)-MAX($O142,'Engine'!$B$4))+'Engine'!$B$10*MAX(0,MIN($O143,'Engine'!$B$7)-MAX($O142,'Engine'!$B$6)))/100/$H$8)</f>
        <v/>
      </c>
      <c r="K143" s="53" t="n">
        <v>0</v>
      </c>
      <c r="L143" s="36" t="n"/>
      <c r="M143" s="53">
        <f>IF($L143="","",ROUND($S143-$L143,2))</f>
        <v/>
      </c>
      <c r="N143" s="54">
        <f>IF(AND($H$10&lt;&gt;"",$O143&lt;=$H$10),"LOCKED","OPEN")</f>
        <v/>
      </c>
      <c r="O143" s="25">
        <f>$Q$131</f>
        <v/>
      </c>
      <c r="S143" s="38">
        <f>$S142+$E143</f>
        <v/>
      </c>
      <c r="T143" s="38" t="n">
        <v>0</v>
      </c>
    </row>
    <row r="144" ht="18" customHeight="1">
      <c r="A144" s="24">
        <f>IF($P$144=0,"QUARTER 11          –  enter the Balance B/F date above to activate this quarter  –","QUARTER 11          "&amp;TEXT($P$144,"DD-MM-YYYY")&amp;"   to   "&amp;TEXT($Q$144,"DD-MM-YYYY")&amp;"          "&amp;IF(AND($H$10&lt;&gt;"",$Q$144&lt;=$H$10),"■ LOCKED – reconciled, no entry allowed","▷ OPEN for entry")&amp;"          RATE(S) APPLIED :  "&amp;$R$144)</f>
        <v/>
      </c>
      <c r="O144" s="25">
        <f>'Engine'!$E$12</f>
        <v/>
      </c>
      <c r="P144" s="25">
        <f>'Engine'!$E$12</f>
        <v/>
      </c>
      <c r="Q144" s="25">
        <f>'Engine'!$F$12</f>
        <v/>
      </c>
      <c r="R144" s="26">
        <f>'Engine'!$G$12</f>
        <v/>
      </c>
    </row>
    <row r="145">
      <c r="A145" s="27" t="inlineStr">
        <is>
          <t>B/F</t>
        </is>
      </c>
      <c r="B145" s="28">
        <f>$P$144</f>
        <v/>
      </c>
      <c r="C145" s="29" t="n"/>
      <c r="D145" s="30">
        <f>"Balance carried forward from quarter 10 – interest capitalised"</f>
        <v/>
      </c>
      <c r="E145" s="31" t="n"/>
      <c r="F145" s="31" t="n"/>
      <c r="G145" s="32">
        <f>$S$145</f>
        <v/>
      </c>
      <c r="H145" s="33" t="n"/>
      <c r="I145" s="34">
        <f>$O$145-$O$143</f>
        <v/>
      </c>
      <c r="J145" s="35" t="n">
        <v>0</v>
      </c>
      <c r="K145" s="35" t="n">
        <v>0</v>
      </c>
      <c r="L145" s="36" t="n"/>
      <c r="M145" s="35">
        <f>IF($L$145="","",ROUND($S$145-$L$145,2))</f>
        <v/>
      </c>
      <c r="N145" s="37">
        <f>IF(AND($H$10&lt;&gt;"",$O$145&lt;=$H$10),"LOCKED","OPEN")</f>
        <v/>
      </c>
      <c r="O145" s="25">
        <f>$P$144</f>
        <v/>
      </c>
      <c r="S145" s="38">
        <f>$S$143</f>
        <v/>
      </c>
      <c r="T145" s="38" t="n">
        <v>0</v>
      </c>
    </row>
    <row r="146">
      <c r="A146" s="39">
        <f>IF($F146="","",COUNT($F$14:$F146))</f>
        <v/>
      </c>
      <c r="B146" s="8" t="n"/>
      <c r="C146" s="6" t="n"/>
      <c r="D146" s="6" t="n"/>
      <c r="E146" s="40" t="n"/>
      <c r="F146" s="36" t="n"/>
      <c r="G146" s="41">
        <f>IF($B146="","",$S146)</f>
        <v/>
      </c>
      <c r="H146" s="42">
        <f>IF($I146&lt;=0,"",('Engine'!$B$8*MAX(0,MIN($O146,'Engine'!$B$3)-MAX($O145,'Engine'!$B$2))+'Engine'!$B$9*MAX(0,MIN($O146,'Engine'!$B$5)-MAX($O145,'Engine'!$B$4))+'Engine'!$B$10*MAX(0,MIN($O146,'Engine'!$B$7)-MAX($O145,'Engine'!$B$6)))/100/$H$8/$I146*$H$8*100)</f>
        <v/>
      </c>
      <c r="I146" s="43">
        <f>$O146-$O145</f>
        <v/>
      </c>
      <c r="J146" s="41">
        <f>IF($I146&lt;=0,0,$S145*('Engine'!$B$8*MAX(0,MIN($O146,'Engine'!$B$3)-MAX($O145,'Engine'!$B$2))+'Engine'!$B$9*MAX(0,MIN($O146,'Engine'!$B$5)-MAX($O145,'Engine'!$B$4))+'Engine'!$B$10*MAX(0,MIN($O146,'Engine'!$B$7)-MAX($O145,'Engine'!$B$6)))/100/$H$8)</f>
        <v/>
      </c>
      <c r="K146" s="41">
        <f>IF($B146="","",$T146)</f>
        <v/>
      </c>
      <c r="L146" s="36" t="n"/>
      <c r="M146" s="41">
        <f>IF($L146="","",ROUND($S146-$L146,2))</f>
        <v/>
      </c>
      <c r="N146" s="44">
        <f>IF(AND($H$10&lt;&gt;"",$O146&lt;=$H$10),"LOCKED","OPEN")</f>
        <v/>
      </c>
      <c r="O146" s="25">
        <f>IF($B146="",$O145,$B146)</f>
        <v/>
      </c>
      <c r="S146" s="38">
        <f>$S145-IF($F146="",0,$F146)</f>
        <v/>
      </c>
      <c r="T146" s="38">
        <f>$T145+$J146</f>
        <v/>
      </c>
    </row>
    <row r="147">
      <c r="A147" s="39">
        <f>IF($F147="","",COUNT($F$14:$F147))</f>
        <v/>
      </c>
      <c r="B147" s="8" t="n"/>
      <c r="C147" s="6" t="n"/>
      <c r="D147" s="6" t="n"/>
      <c r="E147" s="40" t="n"/>
      <c r="F147" s="36" t="n"/>
      <c r="G147" s="41">
        <f>IF($B147="","",$S147)</f>
        <v/>
      </c>
      <c r="H147" s="42">
        <f>IF($I147&lt;=0,"",('Engine'!$B$8*MAX(0,MIN($O147,'Engine'!$B$3)-MAX($O146,'Engine'!$B$2))+'Engine'!$B$9*MAX(0,MIN($O147,'Engine'!$B$5)-MAX($O146,'Engine'!$B$4))+'Engine'!$B$10*MAX(0,MIN($O147,'Engine'!$B$7)-MAX($O146,'Engine'!$B$6)))/100/$H$8/$I147*$H$8*100)</f>
        <v/>
      </c>
      <c r="I147" s="43">
        <f>$O147-$O146</f>
        <v/>
      </c>
      <c r="J147" s="41">
        <f>IF($I147&lt;=0,0,$S146*('Engine'!$B$8*MAX(0,MIN($O147,'Engine'!$B$3)-MAX($O146,'Engine'!$B$2))+'Engine'!$B$9*MAX(0,MIN($O147,'Engine'!$B$5)-MAX($O146,'Engine'!$B$4))+'Engine'!$B$10*MAX(0,MIN($O147,'Engine'!$B$7)-MAX($O146,'Engine'!$B$6)))/100/$H$8)</f>
        <v/>
      </c>
      <c r="K147" s="41">
        <f>IF($B147="","",$T147)</f>
        <v/>
      </c>
      <c r="L147" s="36" t="n"/>
      <c r="M147" s="41">
        <f>IF($L147="","",ROUND($S147-$L147,2))</f>
        <v/>
      </c>
      <c r="N147" s="44">
        <f>IF(AND($H$10&lt;&gt;"",$O147&lt;=$H$10),"LOCKED","OPEN")</f>
        <v/>
      </c>
      <c r="O147" s="25">
        <f>IF($B147="",$O146,$B147)</f>
        <v/>
      </c>
      <c r="S147" s="38">
        <f>$S146-IF($F147="",0,$F147)</f>
        <v/>
      </c>
      <c r="T147" s="38">
        <f>$T146+$J147</f>
        <v/>
      </c>
    </row>
    <row r="148">
      <c r="A148" s="39">
        <f>IF($F148="","",COUNT($F$14:$F148))</f>
        <v/>
      </c>
      <c r="B148" s="8" t="n"/>
      <c r="C148" s="6" t="n"/>
      <c r="D148" s="6" t="n"/>
      <c r="E148" s="40" t="n"/>
      <c r="F148" s="36" t="n"/>
      <c r="G148" s="41">
        <f>IF($B148="","",$S148)</f>
        <v/>
      </c>
      <c r="H148" s="42">
        <f>IF($I148&lt;=0,"",('Engine'!$B$8*MAX(0,MIN($O148,'Engine'!$B$3)-MAX($O147,'Engine'!$B$2))+'Engine'!$B$9*MAX(0,MIN($O148,'Engine'!$B$5)-MAX($O147,'Engine'!$B$4))+'Engine'!$B$10*MAX(0,MIN($O148,'Engine'!$B$7)-MAX($O147,'Engine'!$B$6)))/100/$H$8/$I148*$H$8*100)</f>
        <v/>
      </c>
      <c r="I148" s="43">
        <f>$O148-$O147</f>
        <v/>
      </c>
      <c r="J148" s="41">
        <f>IF($I148&lt;=0,0,$S147*('Engine'!$B$8*MAX(0,MIN($O148,'Engine'!$B$3)-MAX($O147,'Engine'!$B$2))+'Engine'!$B$9*MAX(0,MIN($O148,'Engine'!$B$5)-MAX($O147,'Engine'!$B$4))+'Engine'!$B$10*MAX(0,MIN($O148,'Engine'!$B$7)-MAX($O147,'Engine'!$B$6)))/100/$H$8)</f>
        <v/>
      </c>
      <c r="K148" s="41">
        <f>IF($B148="","",$T148)</f>
        <v/>
      </c>
      <c r="L148" s="36" t="n"/>
      <c r="M148" s="41">
        <f>IF($L148="","",ROUND($S148-$L148,2))</f>
        <v/>
      </c>
      <c r="N148" s="44">
        <f>IF(AND($H$10&lt;&gt;"",$O148&lt;=$H$10),"LOCKED","OPEN")</f>
        <v/>
      </c>
      <c r="O148" s="25">
        <f>IF($B148="",$O147,$B148)</f>
        <v/>
      </c>
      <c r="S148" s="38">
        <f>$S147-IF($F148="",0,$F148)</f>
        <v/>
      </c>
      <c r="T148" s="38">
        <f>$T147+$J148</f>
        <v/>
      </c>
    </row>
    <row r="149">
      <c r="A149" s="39">
        <f>IF($F149="","",COUNT($F$14:$F149))</f>
        <v/>
      </c>
      <c r="B149" s="8" t="n"/>
      <c r="C149" s="6" t="n"/>
      <c r="D149" s="6" t="n"/>
      <c r="E149" s="40" t="n"/>
      <c r="F149" s="36" t="n"/>
      <c r="G149" s="41">
        <f>IF($B149="","",$S149)</f>
        <v/>
      </c>
      <c r="H149" s="42">
        <f>IF($I149&lt;=0,"",('Engine'!$B$8*MAX(0,MIN($O149,'Engine'!$B$3)-MAX($O148,'Engine'!$B$2))+'Engine'!$B$9*MAX(0,MIN($O149,'Engine'!$B$5)-MAX($O148,'Engine'!$B$4))+'Engine'!$B$10*MAX(0,MIN($O149,'Engine'!$B$7)-MAX($O148,'Engine'!$B$6)))/100/$H$8/$I149*$H$8*100)</f>
        <v/>
      </c>
      <c r="I149" s="43">
        <f>$O149-$O148</f>
        <v/>
      </c>
      <c r="J149" s="41">
        <f>IF($I149&lt;=0,0,$S148*('Engine'!$B$8*MAX(0,MIN($O149,'Engine'!$B$3)-MAX($O148,'Engine'!$B$2))+'Engine'!$B$9*MAX(0,MIN($O149,'Engine'!$B$5)-MAX($O148,'Engine'!$B$4))+'Engine'!$B$10*MAX(0,MIN($O149,'Engine'!$B$7)-MAX($O148,'Engine'!$B$6)))/100/$H$8)</f>
        <v/>
      </c>
      <c r="K149" s="41">
        <f>IF($B149="","",$T149)</f>
        <v/>
      </c>
      <c r="L149" s="36" t="n"/>
      <c r="M149" s="41">
        <f>IF($L149="","",ROUND($S149-$L149,2))</f>
        <v/>
      </c>
      <c r="N149" s="44">
        <f>IF(AND($H$10&lt;&gt;"",$O149&lt;=$H$10),"LOCKED","OPEN")</f>
        <v/>
      </c>
      <c r="O149" s="25">
        <f>IF($B149="",$O148,$B149)</f>
        <v/>
      </c>
      <c r="S149" s="38">
        <f>$S148-IF($F149="",0,$F149)</f>
        <v/>
      </c>
      <c r="T149" s="38">
        <f>$T148+$J149</f>
        <v/>
      </c>
    </row>
    <row r="150">
      <c r="A150" s="39">
        <f>IF($F150="","",COUNT($F$14:$F150))</f>
        <v/>
      </c>
      <c r="B150" s="8" t="n"/>
      <c r="C150" s="6" t="n"/>
      <c r="D150" s="6" t="n"/>
      <c r="E150" s="40" t="n"/>
      <c r="F150" s="36" t="n"/>
      <c r="G150" s="41">
        <f>IF($B150="","",$S150)</f>
        <v/>
      </c>
      <c r="H150" s="42">
        <f>IF($I150&lt;=0,"",('Engine'!$B$8*MAX(0,MIN($O150,'Engine'!$B$3)-MAX($O149,'Engine'!$B$2))+'Engine'!$B$9*MAX(0,MIN($O150,'Engine'!$B$5)-MAX($O149,'Engine'!$B$4))+'Engine'!$B$10*MAX(0,MIN($O150,'Engine'!$B$7)-MAX($O149,'Engine'!$B$6)))/100/$H$8/$I150*$H$8*100)</f>
        <v/>
      </c>
      <c r="I150" s="43">
        <f>$O150-$O149</f>
        <v/>
      </c>
      <c r="J150" s="41">
        <f>IF($I150&lt;=0,0,$S149*('Engine'!$B$8*MAX(0,MIN($O150,'Engine'!$B$3)-MAX($O149,'Engine'!$B$2))+'Engine'!$B$9*MAX(0,MIN($O150,'Engine'!$B$5)-MAX($O149,'Engine'!$B$4))+'Engine'!$B$10*MAX(0,MIN($O150,'Engine'!$B$7)-MAX($O149,'Engine'!$B$6)))/100/$H$8)</f>
        <v/>
      </c>
      <c r="K150" s="41">
        <f>IF($B150="","",$T150)</f>
        <v/>
      </c>
      <c r="L150" s="36" t="n"/>
      <c r="M150" s="41">
        <f>IF($L150="","",ROUND($S150-$L150,2))</f>
        <v/>
      </c>
      <c r="N150" s="44">
        <f>IF(AND($H$10&lt;&gt;"",$O150&lt;=$H$10),"LOCKED","OPEN")</f>
        <v/>
      </c>
      <c r="O150" s="25">
        <f>IF($B150="",$O149,$B150)</f>
        <v/>
      </c>
      <c r="S150" s="38">
        <f>$S149-IF($F150="",0,$F150)</f>
        <v/>
      </c>
      <c r="T150" s="38">
        <f>$T149+$J150</f>
        <v/>
      </c>
    </row>
    <row r="151">
      <c r="A151" s="39">
        <f>IF($F151="","",COUNT($F$14:$F151))</f>
        <v/>
      </c>
      <c r="B151" s="8" t="n"/>
      <c r="C151" s="6" t="n"/>
      <c r="D151" s="6" t="n"/>
      <c r="E151" s="40" t="n"/>
      <c r="F151" s="36" t="n"/>
      <c r="G151" s="41">
        <f>IF($B151="","",$S151)</f>
        <v/>
      </c>
      <c r="H151" s="42">
        <f>IF($I151&lt;=0,"",('Engine'!$B$8*MAX(0,MIN($O151,'Engine'!$B$3)-MAX($O150,'Engine'!$B$2))+'Engine'!$B$9*MAX(0,MIN($O151,'Engine'!$B$5)-MAX($O150,'Engine'!$B$4))+'Engine'!$B$10*MAX(0,MIN($O151,'Engine'!$B$7)-MAX($O150,'Engine'!$B$6)))/100/$H$8/$I151*$H$8*100)</f>
        <v/>
      </c>
      <c r="I151" s="43">
        <f>$O151-$O150</f>
        <v/>
      </c>
      <c r="J151" s="41">
        <f>IF($I151&lt;=0,0,$S150*('Engine'!$B$8*MAX(0,MIN($O151,'Engine'!$B$3)-MAX($O150,'Engine'!$B$2))+'Engine'!$B$9*MAX(0,MIN($O151,'Engine'!$B$5)-MAX($O150,'Engine'!$B$4))+'Engine'!$B$10*MAX(0,MIN($O151,'Engine'!$B$7)-MAX($O150,'Engine'!$B$6)))/100/$H$8)</f>
        <v/>
      </c>
      <c r="K151" s="41">
        <f>IF($B151="","",$T151)</f>
        <v/>
      </c>
      <c r="L151" s="36" t="n"/>
      <c r="M151" s="41">
        <f>IF($L151="","",ROUND($S151-$L151,2))</f>
        <v/>
      </c>
      <c r="N151" s="44">
        <f>IF(AND($H$10&lt;&gt;"",$O151&lt;=$H$10),"LOCKED","OPEN")</f>
        <v/>
      </c>
      <c r="O151" s="25">
        <f>IF($B151="",$O150,$B151)</f>
        <v/>
      </c>
      <c r="S151" s="38">
        <f>$S150-IF($F151="",0,$F151)</f>
        <v/>
      </c>
      <c r="T151" s="38">
        <f>$T150+$J151</f>
        <v/>
      </c>
    </row>
    <row r="152">
      <c r="A152" s="39">
        <f>IF($F152="","",COUNT($F$14:$F152))</f>
        <v/>
      </c>
      <c r="B152" s="8" t="n"/>
      <c r="C152" s="6" t="n"/>
      <c r="D152" s="6" t="n"/>
      <c r="E152" s="40" t="n"/>
      <c r="F152" s="36" t="n"/>
      <c r="G152" s="41">
        <f>IF($B152="","",$S152)</f>
        <v/>
      </c>
      <c r="H152" s="42">
        <f>IF($I152&lt;=0,"",('Engine'!$B$8*MAX(0,MIN($O152,'Engine'!$B$3)-MAX($O151,'Engine'!$B$2))+'Engine'!$B$9*MAX(0,MIN($O152,'Engine'!$B$5)-MAX($O151,'Engine'!$B$4))+'Engine'!$B$10*MAX(0,MIN($O152,'Engine'!$B$7)-MAX($O151,'Engine'!$B$6)))/100/$H$8/$I152*$H$8*100)</f>
        <v/>
      </c>
      <c r="I152" s="43">
        <f>$O152-$O151</f>
        <v/>
      </c>
      <c r="J152" s="41">
        <f>IF($I152&lt;=0,0,$S151*('Engine'!$B$8*MAX(0,MIN($O152,'Engine'!$B$3)-MAX($O151,'Engine'!$B$2))+'Engine'!$B$9*MAX(0,MIN($O152,'Engine'!$B$5)-MAX($O151,'Engine'!$B$4))+'Engine'!$B$10*MAX(0,MIN($O152,'Engine'!$B$7)-MAX($O151,'Engine'!$B$6)))/100/$H$8)</f>
        <v/>
      </c>
      <c r="K152" s="41">
        <f>IF($B152="","",$T152)</f>
        <v/>
      </c>
      <c r="L152" s="36" t="n"/>
      <c r="M152" s="41">
        <f>IF($L152="","",ROUND($S152-$L152,2))</f>
        <v/>
      </c>
      <c r="N152" s="44">
        <f>IF(AND($H$10&lt;&gt;"",$O152&lt;=$H$10),"LOCKED","OPEN")</f>
        <v/>
      </c>
      <c r="O152" s="25">
        <f>IF($B152="",$O151,$B152)</f>
        <v/>
      </c>
      <c r="S152" s="38">
        <f>$S151-IF($F152="",0,$F152)</f>
        <v/>
      </c>
      <c r="T152" s="38">
        <f>$T151+$J152</f>
        <v/>
      </c>
    </row>
    <row r="153">
      <c r="A153" s="39">
        <f>IF($F153="","",COUNT($F$14:$F153))</f>
        <v/>
      </c>
      <c r="B153" s="8" t="n"/>
      <c r="C153" s="6" t="n"/>
      <c r="D153" s="6" t="n"/>
      <c r="E153" s="40" t="n"/>
      <c r="F153" s="36" t="n"/>
      <c r="G153" s="41">
        <f>IF($B153="","",$S153)</f>
        <v/>
      </c>
      <c r="H153" s="42">
        <f>IF($I153&lt;=0,"",('Engine'!$B$8*MAX(0,MIN($O153,'Engine'!$B$3)-MAX($O152,'Engine'!$B$2))+'Engine'!$B$9*MAX(0,MIN($O153,'Engine'!$B$5)-MAX($O152,'Engine'!$B$4))+'Engine'!$B$10*MAX(0,MIN($O153,'Engine'!$B$7)-MAX($O152,'Engine'!$B$6)))/100/$H$8/$I153*$H$8*100)</f>
        <v/>
      </c>
      <c r="I153" s="43">
        <f>$O153-$O152</f>
        <v/>
      </c>
      <c r="J153" s="41">
        <f>IF($I153&lt;=0,0,$S152*('Engine'!$B$8*MAX(0,MIN($O153,'Engine'!$B$3)-MAX($O152,'Engine'!$B$2))+'Engine'!$B$9*MAX(0,MIN($O153,'Engine'!$B$5)-MAX($O152,'Engine'!$B$4))+'Engine'!$B$10*MAX(0,MIN($O153,'Engine'!$B$7)-MAX($O152,'Engine'!$B$6)))/100/$H$8)</f>
        <v/>
      </c>
      <c r="K153" s="41">
        <f>IF($B153="","",$T153)</f>
        <v/>
      </c>
      <c r="L153" s="36" t="n"/>
      <c r="M153" s="41">
        <f>IF($L153="","",ROUND($S153-$L153,2))</f>
        <v/>
      </c>
      <c r="N153" s="44">
        <f>IF(AND($H$10&lt;&gt;"",$O153&lt;=$H$10),"LOCKED","OPEN")</f>
        <v/>
      </c>
      <c r="O153" s="25">
        <f>IF($B153="",$O152,$B153)</f>
        <v/>
      </c>
      <c r="S153" s="38">
        <f>$S152-IF($F153="",0,$F153)</f>
        <v/>
      </c>
      <c r="T153" s="38">
        <f>$T152+$J153</f>
        <v/>
      </c>
    </row>
    <row r="154">
      <c r="A154" s="39">
        <f>IF($F154="","",COUNT($F$14:$F154))</f>
        <v/>
      </c>
      <c r="B154" s="8" t="n"/>
      <c r="C154" s="6" t="n"/>
      <c r="D154" s="6" t="n"/>
      <c r="E154" s="40" t="n"/>
      <c r="F154" s="36" t="n"/>
      <c r="G154" s="41">
        <f>IF($B154="","",$S154)</f>
        <v/>
      </c>
      <c r="H154" s="42">
        <f>IF($I154&lt;=0,"",('Engine'!$B$8*MAX(0,MIN($O154,'Engine'!$B$3)-MAX($O153,'Engine'!$B$2))+'Engine'!$B$9*MAX(0,MIN($O154,'Engine'!$B$5)-MAX($O153,'Engine'!$B$4))+'Engine'!$B$10*MAX(0,MIN($O154,'Engine'!$B$7)-MAX($O153,'Engine'!$B$6)))/100/$H$8/$I154*$H$8*100)</f>
        <v/>
      </c>
      <c r="I154" s="43">
        <f>$O154-$O153</f>
        <v/>
      </c>
      <c r="J154" s="41">
        <f>IF($I154&lt;=0,0,$S153*('Engine'!$B$8*MAX(0,MIN($O154,'Engine'!$B$3)-MAX($O153,'Engine'!$B$2))+'Engine'!$B$9*MAX(0,MIN($O154,'Engine'!$B$5)-MAX($O153,'Engine'!$B$4))+'Engine'!$B$10*MAX(0,MIN($O154,'Engine'!$B$7)-MAX($O153,'Engine'!$B$6)))/100/$H$8)</f>
        <v/>
      </c>
      <c r="K154" s="41">
        <f>IF($B154="","",$T154)</f>
        <v/>
      </c>
      <c r="L154" s="36" t="n"/>
      <c r="M154" s="41">
        <f>IF($L154="","",ROUND($S154-$L154,2))</f>
        <v/>
      </c>
      <c r="N154" s="44">
        <f>IF(AND($H$10&lt;&gt;"",$O154&lt;=$H$10),"LOCKED","OPEN")</f>
        <v/>
      </c>
      <c r="O154" s="25">
        <f>IF($B154="",$O153,$B154)</f>
        <v/>
      </c>
      <c r="S154" s="38">
        <f>$S153-IF($F154="",0,$F154)</f>
        <v/>
      </c>
      <c r="T154" s="38">
        <f>$T153+$J154</f>
        <v/>
      </c>
    </row>
    <row r="155">
      <c r="A155" s="39">
        <f>IF($F155="","",COUNT($F$14:$F155))</f>
        <v/>
      </c>
      <c r="B155" s="8" t="n"/>
      <c r="C155" s="6" t="n"/>
      <c r="D155" s="6" t="n"/>
      <c r="E155" s="40" t="n"/>
      <c r="F155" s="36" t="n"/>
      <c r="G155" s="41">
        <f>IF($B155="","",$S155)</f>
        <v/>
      </c>
      <c r="H155" s="42">
        <f>IF($I155&lt;=0,"",('Engine'!$B$8*MAX(0,MIN($O155,'Engine'!$B$3)-MAX($O154,'Engine'!$B$2))+'Engine'!$B$9*MAX(0,MIN($O155,'Engine'!$B$5)-MAX($O154,'Engine'!$B$4))+'Engine'!$B$10*MAX(0,MIN($O155,'Engine'!$B$7)-MAX($O154,'Engine'!$B$6)))/100/$H$8/$I155*$H$8*100)</f>
        <v/>
      </c>
      <c r="I155" s="43">
        <f>$O155-$O154</f>
        <v/>
      </c>
      <c r="J155" s="41">
        <f>IF($I155&lt;=0,0,$S154*('Engine'!$B$8*MAX(0,MIN($O155,'Engine'!$B$3)-MAX($O154,'Engine'!$B$2))+'Engine'!$B$9*MAX(0,MIN($O155,'Engine'!$B$5)-MAX($O154,'Engine'!$B$4))+'Engine'!$B$10*MAX(0,MIN($O155,'Engine'!$B$7)-MAX($O154,'Engine'!$B$6)))/100/$H$8)</f>
        <v/>
      </c>
      <c r="K155" s="41">
        <f>IF($B155="","",$T155)</f>
        <v/>
      </c>
      <c r="L155" s="36" t="n"/>
      <c r="M155" s="41">
        <f>IF($L155="","",ROUND($S155-$L155,2))</f>
        <v/>
      </c>
      <c r="N155" s="44">
        <f>IF(AND($H$10&lt;&gt;"",$O155&lt;=$H$10),"LOCKED","OPEN")</f>
        <v/>
      </c>
      <c r="O155" s="25">
        <f>IF($B155="",$O154,$B155)</f>
        <v/>
      </c>
      <c r="S155" s="38">
        <f>$S154-IF($F155="",0,$F155)</f>
        <v/>
      </c>
      <c r="T155" s="38">
        <f>$T154+$J155</f>
        <v/>
      </c>
    </row>
    <row r="156">
      <c r="A156" s="45" t="inlineStr">
        <is>
          <t>INT</t>
        </is>
      </c>
      <c r="B156" s="46">
        <f>$Q$144</f>
        <v/>
      </c>
      <c r="C156" s="47" t="n"/>
      <c r="D156" s="48">
        <f>"Interest for the quarter debited &amp; capitalised   ·   rate(s) applied :  "&amp;$R$144</f>
        <v/>
      </c>
      <c r="E156" s="49">
        <f>ROUND($T155+$J156,2)</f>
        <v/>
      </c>
      <c r="F156" s="50" t="n"/>
      <c r="G156" s="49">
        <f>$S156</f>
        <v/>
      </c>
      <c r="H156" s="51">
        <f>IF($I156&lt;=0,"",('Engine'!$B$8*MAX(0,MIN($O156,'Engine'!$B$3)-MAX($O155,'Engine'!$B$2))+'Engine'!$B$9*MAX(0,MIN($O156,'Engine'!$B$5)-MAX($O155,'Engine'!$B$4))+'Engine'!$B$10*MAX(0,MIN($O156,'Engine'!$B$7)-MAX($O155,'Engine'!$B$6)))/100/$H$8/$I156*$H$8*100)</f>
        <v/>
      </c>
      <c r="I156" s="52">
        <f>$O156-$O155</f>
        <v/>
      </c>
      <c r="J156" s="53">
        <f>IF($I156&lt;=0,0,$S155*('Engine'!$B$8*MAX(0,MIN($O156,'Engine'!$B$3)-MAX($O155,'Engine'!$B$2))+'Engine'!$B$9*MAX(0,MIN($O156,'Engine'!$B$5)-MAX($O155,'Engine'!$B$4))+'Engine'!$B$10*MAX(0,MIN($O156,'Engine'!$B$7)-MAX($O155,'Engine'!$B$6)))/100/$H$8)</f>
        <v/>
      </c>
      <c r="K156" s="53" t="n">
        <v>0</v>
      </c>
      <c r="L156" s="36" t="n"/>
      <c r="M156" s="53">
        <f>IF($L156="","",ROUND($S156-$L156,2))</f>
        <v/>
      </c>
      <c r="N156" s="54">
        <f>IF(AND($H$10&lt;&gt;"",$O156&lt;=$H$10),"LOCKED","OPEN")</f>
        <v/>
      </c>
      <c r="O156" s="25">
        <f>$Q$144</f>
        <v/>
      </c>
      <c r="S156" s="38">
        <f>$S155+$E156</f>
        <v/>
      </c>
      <c r="T156" s="38" t="n">
        <v>0</v>
      </c>
    </row>
    <row r="157" ht="18" customHeight="1">
      <c r="A157" s="24">
        <f>IF($P$157=0,"QUARTER 12          –  enter the Balance B/F date above to activate this quarter  –","QUARTER 12          "&amp;TEXT($P$157,"DD-MM-YYYY")&amp;"   to   "&amp;TEXT($Q$157,"DD-MM-YYYY")&amp;"          "&amp;IF(AND($H$10&lt;&gt;"",$Q$157&lt;=$H$10),"■ LOCKED – reconciled, no entry allowed","▷ OPEN for entry")&amp;"          RATE(S) APPLIED :  "&amp;$R$157)</f>
        <v/>
      </c>
      <c r="O157" s="25">
        <f>'Engine'!$E$13</f>
        <v/>
      </c>
      <c r="P157" s="25">
        <f>'Engine'!$E$13</f>
        <v/>
      </c>
      <c r="Q157" s="25">
        <f>'Engine'!$F$13</f>
        <v/>
      </c>
      <c r="R157" s="26">
        <f>'Engine'!$G$13</f>
        <v/>
      </c>
    </row>
    <row r="158">
      <c r="A158" s="27" t="inlineStr">
        <is>
          <t>B/F</t>
        </is>
      </c>
      <c r="B158" s="28">
        <f>$P$157</f>
        <v/>
      </c>
      <c r="C158" s="29" t="n"/>
      <c r="D158" s="30">
        <f>"Balance carried forward from quarter 11 – interest capitalised"</f>
        <v/>
      </c>
      <c r="E158" s="31" t="n"/>
      <c r="F158" s="31" t="n"/>
      <c r="G158" s="32">
        <f>$S$158</f>
        <v/>
      </c>
      <c r="H158" s="33" t="n"/>
      <c r="I158" s="34">
        <f>$O$158-$O$156</f>
        <v/>
      </c>
      <c r="J158" s="35" t="n">
        <v>0</v>
      </c>
      <c r="K158" s="35" t="n">
        <v>0</v>
      </c>
      <c r="L158" s="36" t="n"/>
      <c r="M158" s="35">
        <f>IF($L$158="","",ROUND($S$158-$L$158,2))</f>
        <v/>
      </c>
      <c r="N158" s="37">
        <f>IF(AND($H$10&lt;&gt;"",$O$158&lt;=$H$10),"LOCKED","OPEN")</f>
        <v/>
      </c>
      <c r="O158" s="25">
        <f>$P$157</f>
        <v/>
      </c>
      <c r="S158" s="38">
        <f>$S$156</f>
        <v/>
      </c>
      <c r="T158" s="38" t="n">
        <v>0</v>
      </c>
    </row>
    <row r="159">
      <c r="A159" s="39">
        <f>IF($F159="","",COUNT($F$14:$F159))</f>
        <v/>
      </c>
      <c r="B159" s="8" t="n"/>
      <c r="C159" s="6" t="n"/>
      <c r="D159" s="6" t="n"/>
      <c r="E159" s="40" t="n"/>
      <c r="F159" s="36" t="n"/>
      <c r="G159" s="41">
        <f>IF($B159="","",$S159)</f>
        <v/>
      </c>
      <c r="H159" s="42">
        <f>IF($I159&lt;=0,"",('Engine'!$B$8*MAX(0,MIN($O159,'Engine'!$B$3)-MAX($O158,'Engine'!$B$2))+'Engine'!$B$9*MAX(0,MIN($O159,'Engine'!$B$5)-MAX($O158,'Engine'!$B$4))+'Engine'!$B$10*MAX(0,MIN($O159,'Engine'!$B$7)-MAX($O158,'Engine'!$B$6)))/100/$H$8/$I159*$H$8*100)</f>
        <v/>
      </c>
      <c r="I159" s="43">
        <f>$O159-$O158</f>
        <v/>
      </c>
      <c r="J159" s="41">
        <f>IF($I159&lt;=0,0,$S158*('Engine'!$B$8*MAX(0,MIN($O159,'Engine'!$B$3)-MAX($O158,'Engine'!$B$2))+'Engine'!$B$9*MAX(0,MIN($O159,'Engine'!$B$5)-MAX($O158,'Engine'!$B$4))+'Engine'!$B$10*MAX(0,MIN($O159,'Engine'!$B$7)-MAX($O158,'Engine'!$B$6)))/100/$H$8)</f>
        <v/>
      </c>
      <c r="K159" s="41">
        <f>IF($B159="","",$T159)</f>
        <v/>
      </c>
      <c r="L159" s="36" t="n"/>
      <c r="M159" s="41">
        <f>IF($L159="","",ROUND($S159-$L159,2))</f>
        <v/>
      </c>
      <c r="N159" s="44">
        <f>IF(AND($H$10&lt;&gt;"",$O159&lt;=$H$10),"LOCKED","OPEN")</f>
        <v/>
      </c>
      <c r="O159" s="25">
        <f>IF($B159="",$O158,$B159)</f>
        <v/>
      </c>
      <c r="S159" s="38">
        <f>$S158-IF($F159="",0,$F159)</f>
        <v/>
      </c>
      <c r="T159" s="38">
        <f>$T158+$J159</f>
        <v/>
      </c>
    </row>
    <row r="160">
      <c r="A160" s="39">
        <f>IF($F160="","",COUNT($F$14:$F160))</f>
        <v/>
      </c>
      <c r="B160" s="8" t="n"/>
      <c r="C160" s="6" t="n"/>
      <c r="D160" s="6" t="n"/>
      <c r="E160" s="40" t="n"/>
      <c r="F160" s="36" t="n"/>
      <c r="G160" s="41">
        <f>IF($B160="","",$S160)</f>
        <v/>
      </c>
      <c r="H160" s="42">
        <f>IF($I160&lt;=0,"",('Engine'!$B$8*MAX(0,MIN($O160,'Engine'!$B$3)-MAX($O159,'Engine'!$B$2))+'Engine'!$B$9*MAX(0,MIN($O160,'Engine'!$B$5)-MAX($O159,'Engine'!$B$4))+'Engine'!$B$10*MAX(0,MIN($O160,'Engine'!$B$7)-MAX($O159,'Engine'!$B$6)))/100/$H$8/$I160*$H$8*100)</f>
        <v/>
      </c>
      <c r="I160" s="43">
        <f>$O160-$O159</f>
        <v/>
      </c>
      <c r="J160" s="41">
        <f>IF($I160&lt;=0,0,$S159*('Engine'!$B$8*MAX(0,MIN($O160,'Engine'!$B$3)-MAX($O159,'Engine'!$B$2))+'Engine'!$B$9*MAX(0,MIN($O160,'Engine'!$B$5)-MAX($O159,'Engine'!$B$4))+'Engine'!$B$10*MAX(0,MIN($O160,'Engine'!$B$7)-MAX($O159,'Engine'!$B$6)))/100/$H$8)</f>
        <v/>
      </c>
      <c r="K160" s="41">
        <f>IF($B160="","",$T160)</f>
        <v/>
      </c>
      <c r="L160" s="36" t="n"/>
      <c r="M160" s="41">
        <f>IF($L160="","",ROUND($S160-$L160,2))</f>
        <v/>
      </c>
      <c r="N160" s="44">
        <f>IF(AND($H$10&lt;&gt;"",$O160&lt;=$H$10),"LOCKED","OPEN")</f>
        <v/>
      </c>
      <c r="O160" s="25">
        <f>IF($B160="",$O159,$B160)</f>
        <v/>
      </c>
      <c r="S160" s="38">
        <f>$S159-IF($F160="",0,$F160)</f>
        <v/>
      </c>
      <c r="T160" s="38">
        <f>$T159+$J160</f>
        <v/>
      </c>
    </row>
    <row r="161">
      <c r="A161" s="39">
        <f>IF($F161="","",COUNT($F$14:$F161))</f>
        <v/>
      </c>
      <c r="B161" s="8" t="n"/>
      <c r="C161" s="6" t="n"/>
      <c r="D161" s="6" t="n"/>
      <c r="E161" s="40" t="n"/>
      <c r="F161" s="36" t="n"/>
      <c r="G161" s="41">
        <f>IF($B161="","",$S161)</f>
        <v/>
      </c>
      <c r="H161" s="42">
        <f>IF($I161&lt;=0,"",('Engine'!$B$8*MAX(0,MIN($O161,'Engine'!$B$3)-MAX($O160,'Engine'!$B$2))+'Engine'!$B$9*MAX(0,MIN($O161,'Engine'!$B$5)-MAX($O160,'Engine'!$B$4))+'Engine'!$B$10*MAX(0,MIN($O161,'Engine'!$B$7)-MAX($O160,'Engine'!$B$6)))/100/$H$8/$I161*$H$8*100)</f>
        <v/>
      </c>
      <c r="I161" s="43">
        <f>$O161-$O160</f>
        <v/>
      </c>
      <c r="J161" s="41">
        <f>IF($I161&lt;=0,0,$S160*('Engine'!$B$8*MAX(0,MIN($O161,'Engine'!$B$3)-MAX($O160,'Engine'!$B$2))+'Engine'!$B$9*MAX(0,MIN($O161,'Engine'!$B$5)-MAX($O160,'Engine'!$B$4))+'Engine'!$B$10*MAX(0,MIN($O161,'Engine'!$B$7)-MAX($O160,'Engine'!$B$6)))/100/$H$8)</f>
        <v/>
      </c>
      <c r="K161" s="41">
        <f>IF($B161="","",$T161)</f>
        <v/>
      </c>
      <c r="L161" s="36" t="n"/>
      <c r="M161" s="41">
        <f>IF($L161="","",ROUND($S161-$L161,2))</f>
        <v/>
      </c>
      <c r="N161" s="44">
        <f>IF(AND($H$10&lt;&gt;"",$O161&lt;=$H$10),"LOCKED","OPEN")</f>
        <v/>
      </c>
      <c r="O161" s="25">
        <f>IF($B161="",$O160,$B161)</f>
        <v/>
      </c>
      <c r="S161" s="38">
        <f>$S160-IF($F161="",0,$F161)</f>
        <v/>
      </c>
      <c r="T161" s="38">
        <f>$T160+$J161</f>
        <v/>
      </c>
    </row>
    <row r="162">
      <c r="A162" s="39">
        <f>IF($F162="","",COUNT($F$14:$F162))</f>
        <v/>
      </c>
      <c r="B162" s="8" t="n"/>
      <c r="C162" s="6" t="n"/>
      <c r="D162" s="6" t="n"/>
      <c r="E162" s="40" t="n"/>
      <c r="F162" s="36" t="n"/>
      <c r="G162" s="41">
        <f>IF($B162="","",$S162)</f>
        <v/>
      </c>
      <c r="H162" s="42">
        <f>IF($I162&lt;=0,"",('Engine'!$B$8*MAX(0,MIN($O162,'Engine'!$B$3)-MAX($O161,'Engine'!$B$2))+'Engine'!$B$9*MAX(0,MIN($O162,'Engine'!$B$5)-MAX($O161,'Engine'!$B$4))+'Engine'!$B$10*MAX(0,MIN($O162,'Engine'!$B$7)-MAX($O161,'Engine'!$B$6)))/100/$H$8/$I162*$H$8*100)</f>
        <v/>
      </c>
      <c r="I162" s="43">
        <f>$O162-$O161</f>
        <v/>
      </c>
      <c r="J162" s="41">
        <f>IF($I162&lt;=0,0,$S161*('Engine'!$B$8*MAX(0,MIN($O162,'Engine'!$B$3)-MAX($O161,'Engine'!$B$2))+'Engine'!$B$9*MAX(0,MIN($O162,'Engine'!$B$5)-MAX($O161,'Engine'!$B$4))+'Engine'!$B$10*MAX(0,MIN($O162,'Engine'!$B$7)-MAX($O161,'Engine'!$B$6)))/100/$H$8)</f>
        <v/>
      </c>
      <c r="K162" s="41">
        <f>IF($B162="","",$T162)</f>
        <v/>
      </c>
      <c r="L162" s="36" t="n"/>
      <c r="M162" s="41">
        <f>IF($L162="","",ROUND($S162-$L162,2))</f>
        <v/>
      </c>
      <c r="N162" s="44">
        <f>IF(AND($H$10&lt;&gt;"",$O162&lt;=$H$10),"LOCKED","OPEN")</f>
        <v/>
      </c>
      <c r="O162" s="25">
        <f>IF($B162="",$O161,$B162)</f>
        <v/>
      </c>
      <c r="S162" s="38">
        <f>$S161-IF($F162="",0,$F162)</f>
        <v/>
      </c>
      <c r="T162" s="38">
        <f>$T161+$J162</f>
        <v/>
      </c>
    </row>
    <row r="163">
      <c r="A163" s="39">
        <f>IF($F163="","",COUNT($F$14:$F163))</f>
        <v/>
      </c>
      <c r="B163" s="8" t="n"/>
      <c r="C163" s="6" t="n"/>
      <c r="D163" s="6" t="n"/>
      <c r="E163" s="40" t="n"/>
      <c r="F163" s="36" t="n"/>
      <c r="G163" s="41">
        <f>IF($B163="","",$S163)</f>
        <v/>
      </c>
      <c r="H163" s="42">
        <f>IF($I163&lt;=0,"",('Engine'!$B$8*MAX(0,MIN($O163,'Engine'!$B$3)-MAX($O162,'Engine'!$B$2))+'Engine'!$B$9*MAX(0,MIN($O163,'Engine'!$B$5)-MAX($O162,'Engine'!$B$4))+'Engine'!$B$10*MAX(0,MIN($O163,'Engine'!$B$7)-MAX($O162,'Engine'!$B$6)))/100/$H$8/$I163*$H$8*100)</f>
        <v/>
      </c>
      <c r="I163" s="43">
        <f>$O163-$O162</f>
        <v/>
      </c>
      <c r="J163" s="41">
        <f>IF($I163&lt;=0,0,$S162*('Engine'!$B$8*MAX(0,MIN($O163,'Engine'!$B$3)-MAX($O162,'Engine'!$B$2))+'Engine'!$B$9*MAX(0,MIN($O163,'Engine'!$B$5)-MAX($O162,'Engine'!$B$4))+'Engine'!$B$10*MAX(0,MIN($O163,'Engine'!$B$7)-MAX($O162,'Engine'!$B$6)))/100/$H$8)</f>
        <v/>
      </c>
      <c r="K163" s="41">
        <f>IF($B163="","",$T163)</f>
        <v/>
      </c>
      <c r="L163" s="36" t="n"/>
      <c r="M163" s="41">
        <f>IF($L163="","",ROUND($S163-$L163,2))</f>
        <v/>
      </c>
      <c r="N163" s="44">
        <f>IF(AND($H$10&lt;&gt;"",$O163&lt;=$H$10),"LOCKED","OPEN")</f>
        <v/>
      </c>
      <c r="O163" s="25">
        <f>IF($B163="",$O162,$B163)</f>
        <v/>
      </c>
      <c r="S163" s="38">
        <f>$S162-IF($F163="",0,$F163)</f>
        <v/>
      </c>
      <c r="T163" s="38">
        <f>$T162+$J163</f>
        <v/>
      </c>
    </row>
    <row r="164">
      <c r="A164" s="39">
        <f>IF($F164="","",COUNT($F$14:$F164))</f>
        <v/>
      </c>
      <c r="B164" s="8" t="n"/>
      <c r="C164" s="6" t="n"/>
      <c r="D164" s="6" t="n"/>
      <c r="E164" s="40" t="n"/>
      <c r="F164" s="36" t="n"/>
      <c r="G164" s="41">
        <f>IF($B164="","",$S164)</f>
        <v/>
      </c>
      <c r="H164" s="42">
        <f>IF($I164&lt;=0,"",('Engine'!$B$8*MAX(0,MIN($O164,'Engine'!$B$3)-MAX($O163,'Engine'!$B$2))+'Engine'!$B$9*MAX(0,MIN($O164,'Engine'!$B$5)-MAX($O163,'Engine'!$B$4))+'Engine'!$B$10*MAX(0,MIN($O164,'Engine'!$B$7)-MAX($O163,'Engine'!$B$6)))/100/$H$8/$I164*$H$8*100)</f>
        <v/>
      </c>
      <c r="I164" s="43">
        <f>$O164-$O163</f>
        <v/>
      </c>
      <c r="J164" s="41">
        <f>IF($I164&lt;=0,0,$S163*('Engine'!$B$8*MAX(0,MIN($O164,'Engine'!$B$3)-MAX($O163,'Engine'!$B$2))+'Engine'!$B$9*MAX(0,MIN($O164,'Engine'!$B$5)-MAX($O163,'Engine'!$B$4))+'Engine'!$B$10*MAX(0,MIN($O164,'Engine'!$B$7)-MAX($O163,'Engine'!$B$6)))/100/$H$8)</f>
        <v/>
      </c>
      <c r="K164" s="41">
        <f>IF($B164="","",$T164)</f>
        <v/>
      </c>
      <c r="L164" s="36" t="n"/>
      <c r="M164" s="41">
        <f>IF($L164="","",ROUND($S164-$L164,2))</f>
        <v/>
      </c>
      <c r="N164" s="44">
        <f>IF(AND($H$10&lt;&gt;"",$O164&lt;=$H$10),"LOCKED","OPEN")</f>
        <v/>
      </c>
      <c r="O164" s="25">
        <f>IF($B164="",$O163,$B164)</f>
        <v/>
      </c>
      <c r="S164" s="38">
        <f>$S163-IF($F164="",0,$F164)</f>
        <v/>
      </c>
      <c r="T164" s="38">
        <f>$T163+$J164</f>
        <v/>
      </c>
    </row>
    <row r="165">
      <c r="A165" s="39">
        <f>IF($F165="","",COUNT($F$14:$F165))</f>
        <v/>
      </c>
      <c r="B165" s="8" t="n"/>
      <c r="C165" s="6" t="n"/>
      <c r="D165" s="6" t="n"/>
      <c r="E165" s="40" t="n"/>
      <c r="F165" s="36" t="n"/>
      <c r="G165" s="41">
        <f>IF($B165="","",$S165)</f>
        <v/>
      </c>
      <c r="H165" s="42">
        <f>IF($I165&lt;=0,"",('Engine'!$B$8*MAX(0,MIN($O165,'Engine'!$B$3)-MAX($O164,'Engine'!$B$2))+'Engine'!$B$9*MAX(0,MIN($O165,'Engine'!$B$5)-MAX($O164,'Engine'!$B$4))+'Engine'!$B$10*MAX(0,MIN($O165,'Engine'!$B$7)-MAX($O164,'Engine'!$B$6)))/100/$H$8/$I165*$H$8*100)</f>
        <v/>
      </c>
      <c r="I165" s="43">
        <f>$O165-$O164</f>
        <v/>
      </c>
      <c r="J165" s="41">
        <f>IF($I165&lt;=0,0,$S164*('Engine'!$B$8*MAX(0,MIN($O165,'Engine'!$B$3)-MAX($O164,'Engine'!$B$2))+'Engine'!$B$9*MAX(0,MIN($O165,'Engine'!$B$5)-MAX($O164,'Engine'!$B$4))+'Engine'!$B$10*MAX(0,MIN($O165,'Engine'!$B$7)-MAX($O164,'Engine'!$B$6)))/100/$H$8)</f>
        <v/>
      </c>
      <c r="K165" s="41">
        <f>IF($B165="","",$T165)</f>
        <v/>
      </c>
      <c r="L165" s="36" t="n"/>
      <c r="M165" s="41">
        <f>IF($L165="","",ROUND($S165-$L165,2))</f>
        <v/>
      </c>
      <c r="N165" s="44">
        <f>IF(AND($H$10&lt;&gt;"",$O165&lt;=$H$10),"LOCKED","OPEN")</f>
        <v/>
      </c>
      <c r="O165" s="25">
        <f>IF($B165="",$O164,$B165)</f>
        <v/>
      </c>
      <c r="S165" s="38">
        <f>$S164-IF($F165="",0,$F165)</f>
        <v/>
      </c>
      <c r="T165" s="38">
        <f>$T164+$J165</f>
        <v/>
      </c>
    </row>
    <row r="166">
      <c r="A166" s="39">
        <f>IF($F166="","",COUNT($F$14:$F166))</f>
        <v/>
      </c>
      <c r="B166" s="8" t="n"/>
      <c r="C166" s="6" t="n"/>
      <c r="D166" s="6" t="n"/>
      <c r="E166" s="40" t="n"/>
      <c r="F166" s="36" t="n"/>
      <c r="G166" s="41">
        <f>IF($B166="","",$S166)</f>
        <v/>
      </c>
      <c r="H166" s="42">
        <f>IF($I166&lt;=0,"",('Engine'!$B$8*MAX(0,MIN($O166,'Engine'!$B$3)-MAX($O165,'Engine'!$B$2))+'Engine'!$B$9*MAX(0,MIN($O166,'Engine'!$B$5)-MAX($O165,'Engine'!$B$4))+'Engine'!$B$10*MAX(0,MIN($O166,'Engine'!$B$7)-MAX($O165,'Engine'!$B$6)))/100/$H$8/$I166*$H$8*100)</f>
        <v/>
      </c>
      <c r="I166" s="43">
        <f>$O166-$O165</f>
        <v/>
      </c>
      <c r="J166" s="41">
        <f>IF($I166&lt;=0,0,$S165*('Engine'!$B$8*MAX(0,MIN($O166,'Engine'!$B$3)-MAX($O165,'Engine'!$B$2))+'Engine'!$B$9*MAX(0,MIN($O166,'Engine'!$B$5)-MAX($O165,'Engine'!$B$4))+'Engine'!$B$10*MAX(0,MIN($O166,'Engine'!$B$7)-MAX($O165,'Engine'!$B$6)))/100/$H$8)</f>
        <v/>
      </c>
      <c r="K166" s="41">
        <f>IF($B166="","",$T166)</f>
        <v/>
      </c>
      <c r="L166" s="36" t="n"/>
      <c r="M166" s="41">
        <f>IF($L166="","",ROUND($S166-$L166,2))</f>
        <v/>
      </c>
      <c r="N166" s="44">
        <f>IF(AND($H$10&lt;&gt;"",$O166&lt;=$H$10),"LOCKED","OPEN")</f>
        <v/>
      </c>
      <c r="O166" s="25">
        <f>IF($B166="",$O165,$B166)</f>
        <v/>
      </c>
      <c r="S166" s="38">
        <f>$S165-IF($F166="",0,$F166)</f>
        <v/>
      </c>
      <c r="T166" s="38">
        <f>$T165+$J166</f>
        <v/>
      </c>
    </row>
    <row r="167">
      <c r="A167" s="39">
        <f>IF($F167="","",COUNT($F$14:$F167))</f>
        <v/>
      </c>
      <c r="B167" s="8" t="n"/>
      <c r="C167" s="6" t="n"/>
      <c r="D167" s="6" t="n"/>
      <c r="E167" s="40" t="n"/>
      <c r="F167" s="36" t="n"/>
      <c r="G167" s="41">
        <f>IF($B167="","",$S167)</f>
        <v/>
      </c>
      <c r="H167" s="42">
        <f>IF($I167&lt;=0,"",('Engine'!$B$8*MAX(0,MIN($O167,'Engine'!$B$3)-MAX($O166,'Engine'!$B$2))+'Engine'!$B$9*MAX(0,MIN($O167,'Engine'!$B$5)-MAX($O166,'Engine'!$B$4))+'Engine'!$B$10*MAX(0,MIN($O167,'Engine'!$B$7)-MAX($O166,'Engine'!$B$6)))/100/$H$8/$I167*$H$8*100)</f>
        <v/>
      </c>
      <c r="I167" s="43">
        <f>$O167-$O166</f>
        <v/>
      </c>
      <c r="J167" s="41">
        <f>IF($I167&lt;=0,0,$S166*('Engine'!$B$8*MAX(0,MIN($O167,'Engine'!$B$3)-MAX($O166,'Engine'!$B$2))+'Engine'!$B$9*MAX(0,MIN($O167,'Engine'!$B$5)-MAX($O166,'Engine'!$B$4))+'Engine'!$B$10*MAX(0,MIN($O167,'Engine'!$B$7)-MAX($O166,'Engine'!$B$6)))/100/$H$8)</f>
        <v/>
      </c>
      <c r="K167" s="41">
        <f>IF($B167="","",$T167)</f>
        <v/>
      </c>
      <c r="L167" s="36" t="n"/>
      <c r="M167" s="41">
        <f>IF($L167="","",ROUND($S167-$L167,2))</f>
        <v/>
      </c>
      <c r="N167" s="44">
        <f>IF(AND($H$10&lt;&gt;"",$O167&lt;=$H$10),"LOCKED","OPEN")</f>
        <v/>
      </c>
      <c r="O167" s="25">
        <f>IF($B167="",$O166,$B167)</f>
        <v/>
      </c>
      <c r="S167" s="38">
        <f>$S166-IF($F167="",0,$F167)</f>
        <v/>
      </c>
      <c r="T167" s="38">
        <f>$T166+$J167</f>
        <v/>
      </c>
    </row>
    <row r="168">
      <c r="A168" s="39">
        <f>IF($F168="","",COUNT($F$14:$F168))</f>
        <v/>
      </c>
      <c r="B168" s="8" t="n"/>
      <c r="C168" s="6" t="n"/>
      <c r="D168" s="6" t="n"/>
      <c r="E168" s="40" t="n"/>
      <c r="F168" s="36" t="n"/>
      <c r="G168" s="41">
        <f>IF($B168="","",$S168)</f>
        <v/>
      </c>
      <c r="H168" s="42">
        <f>IF($I168&lt;=0,"",('Engine'!$B$8*MAX(0,MIN($O168,'Engine'!$B$3)-MAX($O167,'Engine'!$B$2))+'Engine'!$B$9*MAX(0,MIN($O168,'Engine'!$B$5)-MAX($O167,'Engine'!$B$4))+'Engine'!$B$10*MAX(0,MIN($O168,'Engine'!$B$7)-MAX($O167,'Engine'!$B$6)))/100/$H$8/$I168*$H$8*100)</f>
        <v/>
      </c>
      <c r="I168" s="43">
        <f>$O168-$O167</f>
        <v/>
      </c>
      <c r="J168" s="41">
        <f>IF($I168&lt;=0,0,$S167*('Engine'!$B$8*MAX(0,MIN($O168,'Engine'!$B$3)-MAX($O167,'Engine'!$B$2))+'Engine'!$B$9*MAX(0,MIN($O168,'Engine'!$B$5)-MAX($O167,'Engine'!$B$4))+'Engine'!$B$10*MAX(0,MIN($O168,'Engine'!$B$7)-MAX($O167,'Engine'!$B$6)))/100/$H$8)</f>
        <v/>
      </c>
      <c r="K168" s="41">
        <f>IF($B168="","",$T168)</f>
        <v/>
      </c>
      <c r="L168" s="36" t="n"/>
      <c r="M168" s="41">
        <f>IF($L168="","",ROUND($S168-$L168,2))</f>
        <v/>
      </c>
      <c r="N168" s="44">
        <f>IF(AND($H$10&lt;&gt;"",$O168&lt;=$H$10),"LOCKED","OPEN")</f>
        <v/>
      </c>
      <c r="O168" s="25">
        <f>IF($B168="",$O167,$B168)</f>
        <v/>
      </c>
      <c r="S168" s="38">
        <f>$S167-IF($F168="",0,$F168)</f>
        <v/>
      </c>
      <c r="T168" s="38">
        <f>$T167+$J168</f>
        <v/>
      </c>
    </row>
    <row r="169">
      <c r="A169" s="45" t="inlineStr">
        <is>
          <t>INT</t>
        </is>
      </c>
      <c r="B169" s="46">
        <f>$Q$157</f>
        <v/>
      </c>
      <c r="C169" s="47" t="n"/>
      <c r="D169" s="48">
        <f>"Interest for the quarter debited &amp; capitalised   ·   rate(s) applied :  "&amp;$R$157</f>
        <v/>
      </c>
      <c r="E169" s="49">
        <f>ROUND($T168+$J169,2)</f>
        <v/>
      </c>
      <c r="F169" s="50" t="n"/>
      <c r="G169" s="49">
        <f>$S169</f>
        <v/>
      </c>
      <c r="H169" s="51">
        <f>IF($I169&lt;=0,"",('Engine'!$B$8*MAX(0,MIN($O169,'Engine'!$B$3)-MAX($O168,'Engine'!$B$2))+'Engine'!$B$9*MAX(0,MIN($O169,'Engine'!$B$5)-MAX($O168,'Engine'!$B$4))+'Engine'!$B$10*MAX(0,MIN($O169,'Engine'!$B$7)-MAX($O168,'Engine'!$B$6)))/100/$H$8/$I169*$H$8*100)</f>
        <v/>
      </c>
      <c r="I169" s="52">
        <f>$O169-$O168</f>
        <v/>
      </c>
      <c r="J169" s="53">
        <f>IF($I169&lt;=0,0,$S168*('Engine'!$B$8*MAX(0,MIN($O169,'Engine'!$B$3)-MAX($O168,'Engine'!$B$2))+'Engine'!$B$9*MAX(0,MIN($O169,'Engine'!$B$5)-MAX($O168,'Engine'!$B$4))+'Engine'!$B$10*MAX(0,MIN($O169,'Engine'!$B$7)-MAX($O168,'Engine'!$B$6)))/100/$H$8)</f>
        <v/>
      </c>
      <c r="K169" s="53" t="n">
        <v>0</v>
      </c>
      <c r="L169" s="36" t="n"/>
      <c r="M169" s="53">
        <f>IF($L169="","",ROUND($S169-$L169,2))</f>
        <v/>
      </c>
      <c r="N169" s="54">
        <f>IF(AND($H$10&lt;&gt;"",$O169&lt;=$H$10),"LOCKED","OPEN")</f>
        <v/>
      </c>
      <c r="O169" s="25">
        <f>$Q$157</f>
        <v/>
      </c>
      <c r="S169" s="38">
        <f>$S168+$E169</f>
        <v/>
      </c>
      <c r="T169" s="38" t="n">
        <v>0</v>
      </c>
    </row>
    <row r="170" ht="18" customHeight="1">
      <c r="A170" s="24">
        <f>IF($P$170=0,"QUARTER 13          –  enter the Balance B/F date above to activate this quarter  –","QUARTER 13          "&amp;TEXT($P$170,"DD-MM-YYYY")&amp;"   to   "&amp;TEXT($Q$170,"DD-MM-YYYY")&amp;"          "&amp;IF(AND($H$10&lt;&gt;"",$Q$170&lt;=$H$10),"■ LOCKED – reconciled, no entry allowed","▷ OPEN for entry")&amp;"          RATE(S) APPLIED :  "&amp;$R$170)</f>
        <v/>
      </c>
      <c r="O170" s="25">
        <f>'Engine'!$E$14</f>
        <v/>
      </c>
      <c r="P170" s="25">
        <f>'Engine'!$E$14</f>
        <v/>
      </c>
      <c r="Q170" s="25">
        <f>'Engine'!$F$14</f>
        <v/>
      </c>
      <c r="R170" s="26">
        <f>'Engine'!$G$14</f>
        <v/>
      </c>
    </row>
    <row r="171">
      <c r="A171" s="27" t="inlineStr">
        <is>
          <t>B/F</t>
        </is>
      </c>
      <c r="B171" s="28">
        <f>$P$170</f>
        <v/>
      </c>
      <c r="C171" s="29" t="n"/>
      <c r="D171" s="30">
        <f>"Balance carried forward from quarter 12 – interest capitalised"</f>
        <v/>
      </c>
      <c r="E171" s="31" t="n"/>
      <c r="F171" s="31" t="n"/>
      <c r="G171" s="32">
        <f>$S$171</f>
        <v/>
      </c>
      <c r="H171" s="33" t="n"/>
      <c r="I171" s="34">
        <f>$O$171-$O$169</f>
        <v/>
      </c>
      <c r="J171" s="35" t="n">
        <v>0</v>
      </c>
      <c r="K171" s="35" t="n">
        <v>0</v>
      </c>
      <c r="L171" s="36" t="n"/>
      <c r="M171" s="35">
        <f>IF($L$171="","",ROUND($S$171-$L$171,2))</f>
        <v/>
      </c>
      <c r="N171" s="37">
        <f>IF(AND($H$10&lt;&gt;"",$O$171&lt;=$H$10),"LOCKED","OPEN")</f>
        <v/>
      </c>
      <c r="O171" s="25">
        <f>$P$170</f>
        <v/>
      </c>
      <c r="S171" s="38">
        <f>$S$169</f>
        <v/>
      </c>
      <c r="T171" s="38" t="n">
        <v>0</v>
      </c>
    </row>
    <row r="172">
      <c r="A172" s="39">
        <f>IF($F172="","",COUNT($F$14:$F172))</f>
        <v/>
      </c>
      <c r="B172" s="8" t="n"/>
      <c r="C172" s="6" t="n"/>
      <c r="D172" s="6" t="n"/>
      <c r="E172" s="40" t="n"/>
      <c r="F172" s="36" t="n"/>
      <c r="G172" s="41">
        <f>IF($B172="","",$S172)</f>
        <v/>
      </c>
      <c r="H172" s="42">
        <f>IF($I172&lt;=0,"",('Engine'!$B$8*MAX(0,MIN($O172,'Engine'!$B$3)-MAX($O171,'Engine'!$B$2))+'Engine'!$B$9*MAX(0,MIN($O172,'Engine'!$B$5)-MAX($O171,'Engine'!$B$4))+'Engine'!$B$10*MAX(0,MIN($O172,'Engine'!$B$7)-MAX($O171,'Engine'!$B$6)))/100/$H$8/$I172*$H$8*100)</f>
        <v/>
      </c>
      <c r="I172" s="43">
        <f>$O172-$O171</f>
        <v/>
      </c>
      <c r="J172" s="41">
        <f>IF($I172&lt;=0,0,$S171*('Engine'!$B$8*MAX(0,MIN($O172,'Engine'!$B$3)-MAX($O171,'Engine'!$B$2))+'Engine'!$B$9*MAX(0,MIN($O172,'Engine'!$B$5)-MAX($O171,'Engine'!$B$4))+'Engine'!$B$10*MAX(0,MIN($O172,'Engine'!$B$7)-MAX($O171,'Engine'!$B$6)))/100/$H$8)</f>
        <v/>
      </c>
      <c r="K172" s="41">
        <f>IF($B172="","",$T172)</f>
        <v/>
      </c>
      <c r="L172" s="36" t="n"/>
      <c r="M172" s="41">
        <f>IF($L172="","",ROUND($S172-$L172,2))</f>
        <v/>
      </c>
      <c r="N172" s="44">
        <f>IF(AND($H$10&lt;&gt;"",$O172&lt;=$H$10),"LOCKED","OPEN")</f>
        <v/>
      </c>
      <c r="O172" s="25">
        <f>IF($B172="",$O171,$B172)</f>
        <v/>
      </c>
      <c r="S172" s="38">
        <f>$S171-IF($F172="",0,$F172)</f>
        <v/>
      </c>
      <c r="T172" s="38">
        <f>$T171+$J172</f>
        <v/>
      </c>
    </row>
    <row r="173">
      <c r="A173" s="39">
        <f>IF($F173="","",COUNT($F$14:$F173))</f>
        <v/>
      </c>
      <c r="B173" s="8" t="n"/>
      <c r="C173" s="6" t="n"/>
      <c r="D173" s="6" t="n"/>
      <c r="E173" s="40" t="n"/>
      <c r="F173" s="36" t="n"/>
      <c r="G173" s="41">
        <f>IF($B173="","",$S173)</f>
        <v/>
      </c>
      <c r="H173" s="42">
        <f>IF($I173&lt;=0,"",('Engine'!$B$8*MAX(0,MIN($O173,'Engine'!$B$3)-MAX($O172,'Engine'!$B$2))+'Engine'!$B$9*MAX(0,MIN($O173,'Engine'!$B$5)-MAX($O172,'Engine'!$B$4))+'Engine'!$B$10*MAX(0,MIN($O173,'Engine'!$B$7)-MAX($O172,'Engine'!$B$6)))/100/$H$8/$I173*$H$8*100)</f>
        <v/>
      </c>
      <c r="I173" s="43">
        <f>$O173-$O172</f>
        <v/>
      </c>
      <c r="J173" s="41">
        <f>IF($I173&lt;=0,0,$S172*('Engine'!$B$8*MAX(0,MIN($O173,'Engine'!$B$3)-MAX($O172,'Engine'!$B$2))+'Engine'!$B$9*MAX(0,MIN($O173,'Engine'!$B$5)-MAX($O172,'Engine'!$B$4))+'Engine'!$B$10*MAX(0,MIN($O173,'Engine'!$B$7)-MAX($O172,'Engine'!$B$6)))/100/$H$8)</f>
        <v/>
      </c>
      <c r="K173" s="41">
        <f>IF($B173="","",$T173)</f>
        <v/>
      </c>
      <c r="L173" s="36" t="n"/>
      <c r="M173" s="41">
        <f>IF($L173="","",ROUND($S173-$L173,2))</f>
        <v/>
      </c>
      <c r="N173" s="44">
        <f>IF(AND($H$10&lt;&gt;"",$O173&lt;=$H$10),"LOCKED","OPEN")</f>
        <v/>
      </c>
      <c r="O173" s="25">
        <f>IF($B173="",$O172,$B173)</f>
        <v/>
      </c>
      <c r="S173" s="38">
        <f>$S172-IF($F173="",0,$F173)</f>
        <v/>
      </c>
      <c r="T173" s="38">
        <f>$T172+$J173</f>
        <v/>
      </c>
    </row>
    <row r="174">
      <c r="A174" s="39">
        <f>IF($F174="","",COUNT($F$14:$F174))</f>
        <v/>
      </c>
      <c r="B174" s="8" t="n"/>
      <c r="C174" s="6" t="n"/>
      <c r="D174" s="6" t="n"/>
      <c r="E174" s="40" t="n"/>
      <c r="F174" s="36" t="n"/>
      <c r="G174" s="41">
        <f>IF($B174="","",$S174)</f>
        <v/>
      </c>
      <c r="H174" s="42">
        <f>IF($I174&lt;=0,"",('Engine'!$B$8*MAX(0,MIN($O174,'Engine'!$B$3)-MAX($O173,'Engine'!$B$2))+'Engine'!$B$9*MAX(0,MIN($O174,'Engine'!$B$5)-MAX($O173,'Engine'!$B$4))+'Engine'!$B$10*MAX(0,MIN($O174,'Engine'!$B$7)-MAX($O173,'Engine'!$B$6)))/100/$H$8/$I174*$H$8*100)</f>
        <v/>
      </c>
      <c r="I174" s="43">
        <f>$O174-$O173</f>
        <v/>
      </c>
      <c r="J174" s="41">
        <f>IF($I174&lt;=0,0,$S173*('Engine'!$B$8*MAX(0,MIN($O174,'Engine'!$B$3)-MAX($O173,'Engine'!$B$2))+'Engine'!$B$9*MAX(0,MIN($O174,'Engine'!$B$5)-MAX($O173,'Engine'!$B$4))+'Engine'!$B$10*MAX(0,MIN($O174,'Engine'!$B$7)-MAX($O173,'Engine'!$B$6)))/100/$H$8)</f>
        <v/>
      </c>
      <c r="K174" s="41">
        <f>IF($B174="","",$T174)</f>
        <v/>
      </c>
      <c r="L174" s="36" t="n"/>
      <c r="M174" s="41">
        <f>IF($L174="","",ROUND($S174-$L174,2))</f>
        <v/>
      </c>
      <c r="N174" s="44">
        <f>IF(AND($H$10&lt;&gt;"",$O174&lt;=$H$10),"LOCKED","OPEN")</f>
        <v/>
      </c>
      <c r="O174" s="25">
        <f>IF($B174="",$O173,$B174)</f>
        <v/>
      </c>
      <c r="S174" s="38">
        <f>$S173-IF($F174="",0,$F174)</f>
        <v/>
      </c>
      <c r="T174" s="38">
        <f>$T173+$J174</f>
        <v/>
      </c>
    </row>
    <row r="175">
      <c r="A175" s="39">
        <f>IF($F175="","",COUNT($F$14:$F175))</f>
        <v/>
      </c>
      <c r="B175" s="8" t="n"/>
      <c r="C175" s="6" t="n"/>
      <c r="D175" s="6" t="n"/>
      <c r="E175" s="40" t="n"/>
      <c r="F175" s="36" t="n"/>
      <c r="G175" s="41">
        <f>IF($B175="","",$S175)</f>
        <v/>
      </c>
      <c r="H175" s="42">
        <f>IF($I175&lt;=0,"",('Engine'!$B$8*MAX(0,MIN($O175,'Engine'!$B$3)-MAX($O174,'Engine'!$B$2))+'Engine'!$B$9*MAX(0,MIN($O175,'Engine'!$B$5)-MAX($O174,'Engine'!$B$4))+'Engine'!$B$10*MAX(0,MIN($O175,'Engine'!$B$7)-MAX($O174,'Engine'!$B$6)))/100/$H$8/$I175*$H$8*100)</f>
        <v/>
      </c>
      <c r="I175" s="43">
        <f>$O175-$O174</f>
        <v/>
      </c>
      <c r="J175" s="41">
        <f>IF($I175&lt;=0,0,$S174*('Engine'!$B$8*MAX(0,MIN($O175,'Engine'!$B$3)-MAX($O174,'Engine'!$B$2))+'Engine'!$B$9*MAX(0,MIN($O175,'Engine'!$B$5)-MAX($O174,'Engine'!$B$4))+'Engine'!$B$10*MAX(0,MIN($O175,'Engine'!$B$7)-MAX($O174,'Engine'!$B$6)))/100/$H$8)</f>
        <v/>
      </c>
      <c r="K175" s="41">
        <f>IF($B175="","",$T175)</f>
        <v/>
      </c>
      <c r="L175" s="36" t="n"/>
      <c r="M175" s="41">
        <f>IF($L175="","",ROUND($S175-$L175,2))</f>
        <v/>
      </c>
      <c r="N175" s="44">
        <f>IF(AND($H$10&lt;&gt;"",$O175&lt;=$H$10),"LOCKED","OPEN")</f>
        <v/>
      </c>
      <c r="O175" s="25">
        <f>IF($B175="",$O174,$B175)</f>
        <v/>
      </c>
      <c r="S175" s="38">
        <f>$S174-IF($F175="",0,$F175)</f>
        <v/>
      </c>
      <c r="T175" s="38">
        <f>$T174+$J175</f>
        <v/>
      </c>
    </row>
    <row r="176">
      <c r="A176" s="39">
        <f>IF($F176="","",COUNT($F$14:$F176))</f>
        <v/>
      </c>
      <c r="B176" s="8" t="n"/>
      <c r="C176" s="6" t="n"/>
      <c r="D176" s="6" t="n"/>
      <c r="E176" s="40" t="n"/>
      <c r="F176" s="36" t="n"/>
      <c r="G176" s="41">
        <f>IF($B176="","",$S176)</f>
        <v/>
      </c>
      <c r="H176" s="42">
        <f>IF($I176&lt;=0,"",('Engine'!$B$8*MAX(0,MIN($O176,'Engine'!$B$3)-MAX($O175,'Engine'!$B$2))+'Engine'!$B$9*MAX(0,MIN($O176,'Engine'!$B$5)-MAX($O175,'Engine'!$B$4))+'Engine'!$B$10*MAX(0,MIN($O176,'Engine'!$B$7)-MAX($O175,'Engine'!$B$6)))/100/$H$8/$I176*$H$8*100)</f>
        <v/>
      </c>
      <c r="I176" s="43">
        <f>$O176-$O175</f>
        <v/>
      </c>
      <c r="J176" s="41">
        <f>IF($I176&lt;=0,0,$S175*('Engine'!$B$8*MAX(0,MIN($O176,'Engine'!$B$3)-MAX($O175,'Engine'!$B$2))+'Engine'!$B$9*MAX(0,MIN($O176,'Engine'!$B$5)-MAX($O175,'Engine'!$B$4))+'Engine'!$B$10*MAX(0,MIN($O176,'Engine'!$B$7)-MAX($O175,'Engine'!$B$6)))/100/$H$8)</f>
        <v/>
      </c>
      <c r="K176" s="41">
        <f>IF($B176="","",$T176)</f>
        <v/>
      </c>
      <c r="L176" s="36" t="n"/>
      <c r="M176" s="41">
        <f>IF($L176="","",ROUND($S176-$L176,2))</f>
        <v/>
      </c>
      <c r="N176" s="44">
        <f>IF(AND($H$10&lt;&gt;"",$O176&lt;=$H$10),"LOCKED","OPEN")</f>
        <v/>
      </c>
      <c r="O176" s="25">
        <f>IF($B176="",$O175,$B176)</f>
        <v/>
      </c>
      <c r="S176" s="38">
        <f>$S175-IF($F176="",0,$F176)</f>
        <v/>
      </c>
      <c r="T176" s="38">
        <f>$T175+$J176</f>
        <v/>
      </c>
    </row>
    <row r="177">
      <c r="A177" s="39">
        <f>IF($F177="","",COUNT($F$14:$F177))</f>
        <v/>
      </c>
      <c r="B177" s="8" t="n"/>
      <c r="C177" s="6" t="n"/>
      <c r="D177" s="6" t="n"/>
      <c r="E177" s="40" t="n"/>
      <c r="F177" s="36" t="n"/>
      <c r="G177" s="41">
        <f>IF($B177="","",$S177)</f>
        <v/>
      </c>
      <c r="H177" s="42">
        <f>IF($I177&lt;=0,"",('Engine'!$B$8*MAX(0,MIN($O177,'Engine'!$B$3)-MAX($O176,'Engine'!$B$2))+'Engine'!$B$9*MAX(0,MIN($O177,'Engine'!$B$5)-MAX($O176,'Engine'!$B$4))+'Engine'!$B$10*MAX(0,MIN($O177,'Engine'!$B$7)-MAX($O176,'Engine'!$B$6)))/100/$H$8/$I177*$H$8*100)</f>
        <v/>
      </c>
      <c r="I177" s="43">
        <f>$O177-$O176</f>
        <v/>
      </c>
      <c r="J177" s="41">
        <f>IF($I177&lt;=0,0,$S176*('Engine'!$B$8*MAX(0,MIN($O177,'Engine'!$B$3)-MAX($O176,'Engine'!$B$2))+'Engine'!$B$9*MAX(0,MIN($O177,'Engine'!$B$5)-MAX($O176,'Engine'!$B$4))+'Engine'!$B$10*MAX(0,MIN($O177,'Engine'!$B$7)-MAX($O176,'Engine'!$B$6)))/100/$H$8)</f>
        <v/>
      </c>
      <c r="K177" s="41">
        <f>IF($B177="","",$T177)</f>
        <v/>
      </c>
      <c r="L177" s="36" t="n"/>
      <c r="M177" s="41">
        <f>IF($L177="","",ROUND($S177-$L177,2))</f>
        <v/>
      </c>
      <c r="N177" s="44">
        <f>IF(AND($H$10&lt;&gt;"",$O177&lt;=$H$10),"LOCKED","OPEN")</f>
        <v/>
      </c>
      <c r="O177" s="25">
        <f>IF($B177="",$O176,$B177)</f>
        <v/>
      </c>
      <c r="S177" s="38">
        <f>$S176-IF($F177="",0,$F177)</f>
        <v/>
      </c>
      <c r="T177" s="38">
        <f>$T176+$J177</f>
        <v/>
      </c>
    </row>
    <row r="178">
      <c r="A178" s="39">
        <f>IF($F178="","",COUNT($F$14:$F178))</f>
        <v/>
      </c>
      <c r="B178" s="8" t="n"/>
      <c r="C178" s="6" t="n"/>
      <c r="D178" s="6" t="n"/>
      <c r="E178" s="40" t="n"/>
      <c r="F178" s="36" t="n"/>
      <c r="G178" s="41">
        <f>IF($B178="","",$S178)</f>
        <v/>
      </c>
      <c r="H178" s="42">
        <f>IF($I178&lt;=0,"",('Engine'!$B$8*MAX(0,MIN($O178,'Engine'!$B$3)-MAX($O177,'Engine'!$B$2))+'Engine'!$B$9*MAX(0,MIN($O178,'Engine'!$B$5)-MAX($O177,'Engine'!$B$4))+'Engine'!$B$10*MAX(0,MIN($O178,'Engine'!$B$7)-MAX($O177,'Engine'!$B$6)))/100/$H$8/$I178*$H$8*100)</f>
        <v/>
      </c>
      <c r="I178" s="43">
        <f>$O178-$O177</f>
        <v/>
      </c>
      <c r="J178" s="41">
        <f>IF($I178&lt;=0,0,$S177*('Engine'!$B$8*MAX(0,MIN($O178,'Engine'!$B$3)-MAX($O177,'Engine'!$B$2))+'Engine'!$B$9*MAX(0,MIN($O178,'Engine'!$B$5)-MAX($O177,'Engine'!$B$4))+'Engine'!$B$10*MAX(0,MIN($O178,'Engine'!$B$7)-MAX($O177,'Engine'!$B$6)))/100/$H$8)</f>
        <v/>
      </c>
      <c r="K178" s="41">
        <f>IF($B178="","",$T178)</f>
        <v/>
      </c>
      <c r="L178" s="36" t="n"/>
      <c r="M178" s="41">
        <f>IF($L178="","",ROUND($S178-$L178,2))</f>
        <v/>
      </c>
      <c r="N178" s="44">
        <f>IF(AND($H$10&lt;&gt;"",$O178&lt;=$H$10),"LOCKED","OPEN")</f>
        <v/>
      </c>
      <c r="O178" s="25">
        <f>IF($B178="",$O177,$B178)</f>
        <v/>
      </c>
      <c r="S178" s="38">
        <f>$S177-IF($F178="",0,$F178)</f>
        <v/>
      </c>
      <c r="T178" s="38">
        <f>$T177+$J178</f>
        <v/>
      </c>
    </row>
    <row r="179">
      <c r="A179" s="39">
        <f>IF($F179="","",COUNT($F$14:$F179))</f>
        <v/>
      </c>
      <c r="B179" s="8" t="n"/>
      <c r="C179" s="6" t="n"/>
      <c r="D179" s="6" t="n"/>
      <c r="E179" s="40" t="n"/>
      <c r="F179" s="36" t="n"/>
      <c r="G179" s="41">
        <f>IF($B179="","",$S179)</f>
        <v/>
      </c>
      <c r="H179" s="42">
        <f>IF($I179&lt;=0,"",('Engine'!$B$8*MAX(0,MIN($O179,'Engine'!$B$3)-MAX($O178,'Engine'!$B$2))+'Engine'!$B$9*MAX(0,MIN($O179,'Engine'!$B$5)-MAX($O178,'Engine'!$B$4))+'Engine'!$B$10*MAX(0,MIN($O179,'Engine'!$B$7)-MAX($O178,'Engine'!$B$6)))/100/$H$8/$I179*$H$8*100)</f>
        <v/>
      </c>
      <c r="I179" s="43">
        <f>$O179-$O178</f>
        <v/>
      </c>
      <c r="J179" s="41">
        <f>IF($I179&lt;=0,0,$S178*('Engine'!$B$8*MAX(0,MIN($O179,'Engine'!$B$3)-MAX($O178,'Engine'!$B$2))+'Engine'!$B$9*MAX(0,MIN($O179,'Engine'!$B$5)-MAX($O178,'Engine'!$B$4))+'Engine'!$B$10*MAX(0,MIN($O179,'Engine'!$B$7)-MAX($O178,'Engine'!$B$6)))/100/$H$8)</f>
        <v/>
      </c>
      <c r="K179" s="41">
        <f>IF($B179="","",$T179)</f>
        <v/>
      </c>
      <c r="L179" s="36" t="n"/>
      <c r="M179" s="41">
        <f>IF($L179="","",ROUND($S179-$L179,2))</f>
        <v/>
      </c>
      <c r="N179" s="44">
        <f>IF(AND($H$10&lt;&gt;"",$O179&lt;=$H$10),"LOCKED","OPEN")</f>
        <v/>
      </c>
      <c r="O179" s="25">
        <f>IF($B179="",$O178,$B179)</f>
        <v/>
      </c>
      <c r="S179" s="38">
        <f>$S178-IF($F179="",0,$F179)</f>
        <v/>
      </c>
      <c r="T179" s="38">
        <f>$T178+$J179</f>
        <v/>
      </c>
    </row>
    <row r="180">
      <c r="A180" s="39">
        <f>IF($F180="","",COUNT($F$14:$F180))</f>
        <v/>
      </c>
      <c r="B180" s="8" t="n"/>
      <c r="C180" s="6" t="n"/>
      <c r="D180" s="6" t="n"/>
      <c r="E180" s="40" t="n"/>
      <c r="F180" s="36" t="n"/>
      <c r="G180" s="41">
        <f>IF($B180="","",$S180)</f>
        <v/>
      </c>
      <c r="H180" s="42">
        <f>IF($I180&lt;=0,"",('Engine'!$B$8*MAX(0,MIN($O180,'Engine'!$B$3)-MAX($O179,'Engine'!$B$2))+'Engine'!$B$9*MAX(0,MIN($O180,'Engine'!$B$5)-MAX($O179,'Engine'!$B$4))+'Engine'!$B$10*MAX(0,MIN($O180,'Engine'!$B$7)-MAX($O179,'Engine'!$B$6)))/100/$H$8/$I180*$H$8*100)</f>
        <v/>
      </c>
      <c r="I180" s="43">
        <f>$O180-$O179</f>
        <v/>
      </c>
      <c r="J180" s="41">
        <f>IF($I180&lt;=0,0,$S179*('Engine'!$B$8*MAX(0,MIN($O180,'Engine'!$B$3)-MAX($O179,'Engine'!$B$2))+'Engine'!$B$9*MAX(0,MIN($O180,'Engine'!$B$5)-MAX($O179,'Engine'!$B$4))+'Engine'!$B$10*MAX(0,MIN($O180,'Engine'!$B$7)-MAX($O179,'Engine'!$B$6)))/100/$H$8)</f>
        <v/>
      </c>
      <c r="K180" s="41">
        <f>IF($B180="","",$T180)</f>
        <v/>
      </c>
      <c r="L180" s="36" t="n"/>
      <c r="M180" s="41">
        <f>IF($L180="","",ROUND($S180-$L180,2))</f>
        <v/>
      </c>
      <c r="N180" s="44">
        <f>IF(AND($H$10&lt;&gt;"",$O180&lt;=$H$10),"LOCKED","OPEN")</f>
        <v/>
      </c>
      <c r="O180" s="25">
        <f>IF($B180="",$O179,$B180)</f>
        <v/>
      </c>
      <c r="S180" s="38">
        <f>$S179-IF($F180="",0,$F180)</f>
        <v/>
      </c>
      <c r="T180" s="38">
        <f>$T179+$J180</f>
        <v/>
      </c>
    </row>
    <row r="181">
      <c r="A181" s="39">
        <f>IF($F181="","",COUNT($F$14:$F181))</f>
        <v/>
      </c>
      <c r="B181" s="8" t="n"/>
      <c r="C181" s="6" t="n"/>
      <c r="D181" s="6" t="n"/>
      <c r="E181" s="40" t="n"/>
      <c r="F181" s="36" t="n"/>
      <c r="G181" s="41">
        <f>IF($B181="","",$S181)</f>
        <v/>
      </c>
      <c r="H181" s="42">
        <f>IF($I181&lt;=0,"",('Engine'!$B$8*MAX(0,MIN($O181,'Engine'!$B$3)-MAX($O180,'Engine'!$B$2))+'Engine'!$B$9*MAX(0,MIN($O181,'Engine'!$B$5)-MAX($O180,'Engine'!$B$4))+'Engine'!$B$10*MAX(0,MIN($O181,'Engine'!$B$7)-MAX($O180,'Engine'!$B$6)))/100/$H$8/$I181*$H$8*100)</f>
        <v/>
      </c>
      <c r="I181" s="43">
        <f>$O181-$O180</f>
        <v/>
      </c>
      <c r="J181" s="41">
        <f>IF($I181&lt;=0,0,$S180*('Engine'!$B$8*MAX(0,MIN($O181,'Engine'!$B$3)-MAX($O180,'Engine'!$B$2))+'Engine'!$B$9*MAX(0,MIN($O181,'Engine'!$B$5)-MAX($O180,'Engine'!$B$4))+'Engine'!$B$10*MAX(0,MIN($O181,'Engine'!$B$7)-MAX($O180,'Engine'!$B$6)))/100/$H$8)</f>
        <v/>
      </c>
      <c r="K181" s="41">
        <f>IF($B181="","",$T181)</f>
        <v/>
      </c>
      <c r="L181" s="36" t="n"/>
      <c r="M181" s="41">
        <f>IF($L181="","",ROUND($S181-$L181,2))</f>
        <v/>
      </c>
      <c r="N181" s="44">
        <f>IF(AND($H$10&lt;&gt;"",$O181&lt;=$H$10),"LOCKED","OPEN")</f>
        <v/>
      </c>
      <c r="O181" s="25">
        <f>IF($B181="",$O180,$B181)</f>
        <v/>
      </c>
      <c r="S181" s="38">
        <f>$S180-IF($F181="",0,$F181)</f>
        <v/>
      </c>
      <c r="T181" s="38">
        <f>$T180+$J181</f>
        <v/>
      </c>
    </row>
    <row r="182">
      <c r="A182" s="45" t="inlineStr">
        <is>
          <t>INT</t>
        </is>
      </c>
      <c r="B182" s="46">
        <f>$Q$170</f>
        <v/>
      </c>
      <c r="C182" s="47" t="n"/>
      <c r="D182" s="48">
        <f>"Interest for the quarter debited &amp; capitalised   ·   rate(s) applied :  "&amp;$R$170</f>
        <v/>
      </c>
      <c r="E182" s="49">
        <f>ROUND($T181+$J182,2)</f>
        <v/>
      </c>
      <c r="F182" s="50" t="n"/>
      <c r="G182" s="49">
        <f>$S182</f>
        <v/>
      </c>
      <c r="H182" s="51">
        <f>IF($I182&lt;=0,"",('Engine'!$B$8*MAX(0,MIN($O182,'Engine'!$B$3)-MAX($O181,'Engine'!$B$2))+'Engine'!$B$9*MAX(0,MIN($O182,'Engine'!$B$5)-MAX($O181,'Engine'!$B$4))+'Engine'!$B$10*MAX(0,MIN($O182,'Engine'!$B$7)-MAX($O181,'Engine'!$B$6)))/100/$H$8/$I182*$H$8*100)</f>
        <v/>
      </c>
      <c r="I182" s="52">
        <f>$O182-$O181</f>
        <v/>
      </c>
      <c r="J182" s="53">
        <f>IF($I182&lt;=0,0,$S181*('Engine'!$B$8*MAX(0,MIN($O182,'Engine'!$B$3)-MAX($O181,'Engine'!$B$2))+'Engine'!$B$9*MAX(0,MIN($O182,'Engine'!$B$5)-MAX($O181,'Engine'!$B$4))+'Engine'!$B$10*MAX(0,MIN($O182,'Engine'!$B$7)-MAX($O181,'Engine'!$B$6)))/100/$H$8)</f>
        <v/>
      </c>
      <c r="K182" s="53" t="n">
        <v>0</v>
      </c>
      <c r="L182" s="36" t="n"/>
      <c r="M182" s="53">
        <f>IF($L182="","",ROUND($S182-$L182,2))</f>
        <v/>
      </c>
      <c r="N182" s="54">
        <f>IF(AND($H$10&lt;&gt;"",$O182&lt;=$H$10),"LOCKED","OPEN")</f>
        <v/>
      </c>
      <c r="O182" s="25">
        <f>$Q$170</f>
        <v/>
      </c>
      <c r="S182" s="38">
        <f>$S181+$E182</f>
        <v/>
      </c>
      <c r="T182" s="38" t="n">
        <v>0</v>
      </c>
    </row>
    <row r="183" ht="18" customHeight="1">
      <c r="A183" s="24">
        <f>IF($P$183=0,"QUARTER 14          –  enter the Balance B/F date above to activate this quarter  –","QUARTER 14          "&amp;TEXT($P$183,"DD-MM-YYYY")&amp;"   to   "&amp;TEXT($Q$183,"DD-MM-YYYY")&amp;"          "&amp;IF(AND($H$10&lt;&gt;"",$Q$183&lt;=$H$10),"■ LOCKED – reconciled, no entry allowed","▷ OPEN for entry")&amp;"          RATE(S) APPLIED :  "&amp;$R$183)</f>
        <v/>
      </c>
      <c r="O183" s="25">
        <f>'Engine'!$E$15</f>
        <v/>
      </c>
      <c r="P183" s="25">
        <f>'Engine'!$E$15</f>
        <v/>
      </c>
      <c r="Q183" s="25">
        <f>'Engine'!$F$15</f>
        <v/>
      </c>
      <c r="R183" s="26">
        <f>'Engine'!$G$15</f>
        <v/>
      </c>
    </row>
    <row r="184">
      <c r="A184" s="27" t="inlineStr">
        <is>
          <t>B/F</t>
        </is>
      </c>
      <c r="B184" s="28">
        <f>$P$183</f>
        <v/>
      </c>
      <c r="C184" s="29" t="n"/>
      <c r="D184" s="30">
        <f>"Balance carried forward from quarter 13 – interest capitalised"</f>
        <v/>
      </c>
      <c r="E184" s="31" t="n"/>
      <c r="F184" s="31" t="n"/>
      <c r="G184" s="32">
        <f>$S$184</f>
        <v/>
      </c>
      <c r="H184" s="33" t="n"/>
      <c r="I184" s="34">
        <f>$O$184-$O$182</f>
        <v/>
      </c>
      <c r="J184" s="35" t="n">
        <v>0</v>
      </c>
      <c r="K184" s="35" t="n">
        <v>0</v>
      </c>
      <c r="L184" s="36" t="n"/>
      <c r="M184" s="35">
        <f>IF($L$184="","",ROUND($S$184-$L$184,2))</f>
        <v/>
      </c>
      <c r="N184" s="37">
        <f>IF(AND($H$10&lt;&gt;"",$O$184&lt;=$H$10),"LOCKED","OPEN")</f>
        <v/>
      </c>
      <c r="O184" s="25">
        <f>$P$183</f>
        <v/>
      </c>
      <c r="S184" s="38">
        <f>$S$182</f>
        <v/>
      </c>
      <c r="T184" s="38" t="n">
        <v>0</v>
      </c>
    </row>
    <row r="185">
      <c r="A185" s="39">
        <f>IF($F185="","",COUNT($F$14:$F185))</f>
        <v/>
      </c>
      <c r="B185" s="8" t="n"/>
      <c r="C185" s="6" t="n"/>
      <c r="D185" s="6" t="n"/>
      <c r="E185" s="40" t="n"/>
      <c r="F185" s="36" t="n"/>
      <c r="G185" s="41">
        <f>IF($B185="","",$S185)</f>
        <v/>
      </c>
      <c r="H185" s="42">
        <f>IF($I185&lt;=0,"",('Engine'!$B$8*MAX(0,MIN($O185,'Engine'!$B$3)-MAX($O184,'Engine'!$B$2))+'Engine'!$B$9*MAX(0,MIN($O185,'Engine'!$B$5)-MAX($O184,'Engine'!$B$4))+'Engine'!$B$10*MAX(0,MIN($O185,'Engine'!$B$7)-MAX($O184,'Engine'!$B$6)))/100/$H$8/$I185*$H$8*100)</f>
        <v/>
      </c>
      <c r="I185" s="43">
        <f>$O185-$O184</f>
        <v/>
      </c>
      <c r="J185" s="41">
        <f>IF($I185&lt;=0,0,$S184*('Engine'!$B$8*MAX(0,MIN($O185,'Engine'!$B$3)-MAX($O184,'Engine'!$B$2))+'Engine'!$B$9*MAX(0,MIN($O185,'Engine'!$B$5)-MAX($O184,'Engine'!$B$4))+'Engine'!$B$10*MAX(0,MIN($O185,'Engine'!$B$7)-MAX($O184,'Engine'!$B$6)))/100/$H$8)</f>
        <v/>
      </c>
      <c r="K185" s="41">
        <f>IF($B185="","",$T185)</f>
        <v/>
      </c>
      <c r="L185" s="36" t="n"/>
      <c r="M185" s="41">
        <f>IF($L185="","",ROUND($S185-$L185,2))</f>
        <v/>
      </c>
      <c r="N185" s="44">
        <f>IF(AND($H$10&lt;&gt;"",$O185&lt;=$H$10),"LOCKED","OPEN")</f>
        <v/>
      </c>
      <c r="O185" s="25">
        <f>IF($B185="",$O184,$B185)</f>
        <v/>
      </c>
      <c r="S185" s="38">
        <f>$S184-IF($F185="",0,$F185)</f>
        <v/>
      </c>
      <c r="T185" s="38">
        <f>$T184+$J185</f>
        <v/>
      </c>
    </row>
    <row r="186">
      <c r="A186" s="39">
        <f>IF($F186="","",COUNT($F$14:$F186))</f>
        <v/>
      </c>
      <c r="B186" s="8" t="n"/>
      <c r="C186" s="6" t="n"/>
      <c r="D186" s="6" t="n"/>
      <c r="E186" s="40" t="n"/>
      <c r="F186" s="36" t="n"/>
      <c r="G186" s="41">
        <f>IF($B186="","",$S186)</f>
        <v/>
      </c>
      <c r="H186" s="42">
        <f>IF($I186&lt;=0,"",('Engine'!$B$8*MAX(0,MIN($O186,'Engine'!$B$3)-MAX($O185,'Engine'!$B$2))+'Engine'!$B$9*MAX(0,MIN($O186,'Engine'!$B$5)-MAX($O185,'Engine'!$B$4))+'Engine'!$B$10*MAX(0,MIN($O186,'Engine'!$B$7)-MAX($O185,'Engine'!$B$6)))/100/$H$8/$I186*$H$8*100)</f>
        <v/>
      </c>
      <c r="I186" s="43">
        <f>$O186-$O185</f>
        <v/>
      </c>
      <c r="J186" s="41">
        <f>IF($I186&lt;=0,0,$S185*('Engine'!$B$8*MAX(0,MIN($O186,'Engine'!$B$3)-MAX($O185,'Engine'!$B$2))+'Engine'!$B$9*MAX(0,MIN($O186,'Engine'!$B$5)-MAX($O185,'Engine'!$B$4))+'Engine'!$B$10*MAX(0,MIN($O186,'Engine'!$B$7)-MAX($O185,'Engine'!$B$6)))/100/$H$8)</f>
        <v/>
      </c>
      <c r="K186" s="41">
        <f>IF($B186="","",$T186)</f>
        <v/>
      </c>
      <c r="L186" s="36" t="n"/>
      <c r="M186" s="41">
        <f>IF($L186="","",ROUND($S186-$L186,2))</f>
        <v/>
      </c>
      <c r="N186" s="44">
        <f>IF(AND($H$10&lt;&gt;"",$O186&lt;=$H$10),"LOCKED","OPEN")</f>
        <v/>
      </c>
      <c r="O186" s="25">
        <f>IF($B186="",$O185,$B186)</f>
        <v/>
      </c>
      <c r="S186" s="38">
        <f>$S185-IF($F186="",0,$F186)</f>
        <v/>
      </c>
      <c r="T186" s="38">
        <f>$T185+$J186</f>
        <v/>
      </c>
    </row>
    <row r="187">
      <c r="A187" s="39">
        <f>IF($F187="","",COUNT($F$14:$F187))</f>
        <v/>
      </c>
      <c r="B187" s="8" t="n"/>
      <c r="C187" s="6" t="n"/>
      <c r="D187" s="6" t="n"/>
      <c r="E187" s="40" t="n"/>
      <c r="F187" s="36" t="n"/>
      <c r="G187" s="41">
        <f>IF($B187="","",$S187)</f>
        <v/>
      </c>
      <c r="H187" s="42">
        <f>IF($I187&lt;=0,"",('Engine'!$B$8*MAX(0,MIN($O187,'Engine'!$B$3)-MAX($O186,'Engine'!$B$2))+'Engine'!$B$9*MAX(0,MIN($O187,'Engine'!$B$5)-MAX($O186,'Engine'!$B$4))+'Engine'!$B$10*MAX(0,MIN($O187,'Engine'!$B$7)-MAX($O186,'Engine'!$B$6)))/100/$H$8/$I187*$H$8*100)</f>
        <v/>
      </c>
      <c r="I187" s="43">
        <f>$O187-$O186</f>
        <v/>
      </c>
      <c r="J187" s="41">
        <f>IF($I187&lt;=0,0,$S186*('Engine'!$B$8*MAX(0,MIN($O187,'Engine'!$B$3)-MAX($O186,'Engine'!$B$2))+'Engine'!$B$9*MAX(0,MIN($O187,'Engine'!$B$5)-MAX($O186,'Engine'!$B$4))+'Engine'!$B$10*MAX(0,MIN($O187,'Engine'!$B$7)-MAX($O186,'Engine'!$B$6)))/100/$H$8)</f>
        <v/>
      </c>
      <c r="K187" s="41">
        <f>IF($B187="","",$T187)</f>
        <v/>
      </c>
      <c r="L187" s="36" t="n"/>
      <c r="M187" s="41">
        <f>IF($L187="","",ROUND($S187-$L187,2))</f>
        <v/>
      </c>
      <c r="N187" s="44">
        <f>IF(AND($H$10&lt;&gt;"",$O187&lt;=$H$10),"LOCKED","OPEN")</f>
        <v/>
      </c>
      <c r="O187" s="25">
        <f>IF($B187="",$O186,$B187)</f>
        <v/>
      </c>
      <c r="S187" s="38">
        <f>$S186-IF($F187="",0,$F187)</f>
        <v/>
      </c>
      <c r="T187" s="38">
        <f>$T186+$J187</f>
        <v/>
      </c>
    </row>
    <row r="188">
      <c r="A188" s="39">
        <f>IF($F188="","",COUNT($F$14:$F188))</f>
        <v/>
      </c>
      <c r="B188" s="8" t="n"/>
      <c r="C188" s="6" t="n"/>
      <c r="D188" s="6" t="n"/>
      <c r="E188" s="40" t="n"/>
      <c r="F188" s="36" t="n"/>
      <c r="G188" s="41">
        <f>IF($B188="","",$S188)</f>
        <v/>
      </c>
      <c r="H188" s="42">
        <f>IF($I188&lt;=0,"",('Engine'!$B$8*MAX(0,MIN($O188,'Engine'!$B$3)-MAX($O187,'Engine'!$B$2))+'Engine'!$B$9*MAX(0,MIN($O188,'Engine'!$B$5)-MAX($O187,'Engine'!$B$4))+'Engine'!$B$10*MAX(0,MIN($O188,'Engine'!$B$7)-MAX($O187,'Engine'!$B$6)))/100/$H$8/$I188*$H$8*100)</f>
        <v/>
      </c>
      <c r="I188" s="43">
        <f>$O188-$O187</f>
        <v/>
      </c>
      <c r="J188" s="41">
        <f>IF($I188&lt;=0,0,$S187*('Engine'!$B$8*MAX(0,MIN($O188,'Engine'!$B$3)-MAX($O187,'Engine'!$B$2))+'Engine'!$B$9*MAX(0,MIN($O188,'Engine'!$B$5)-MAX($O187,'Engine'!$B$4))+'Engine'!$B$10*MAX(0,MIN($O188,'Engine'!$B$7)-MAX($O187,'Engine'!$B$6)))/100/$H$8)</f>
        <v/>
      </c>
      <c r="K188" s="41">
        <f>IF($B188="","",$T188)</f>
        <v/>
      </c>
      <c r="L188" s="36" t="n"/>
      <c r="M188" s="41">
        <f>IF($L188="","",ROUND($S188-$L188,2))</f>
        <v/>
      </c>
      <c r="N188" s="44">
        <f>IF(AND($H$10&lt;&gt;"",$O188&lt;=$H$10),"LOCKED","OPEN")</f>
        <v/>
      </c>
      <c r="O188" s="25">
        <f>IF($B188="",$O187,$B188)</f>
        <v/>
      </c>
      <c r="S188" s="38">
        <f>$S187-IF($F188="",0,$F188)</f>
        <v/>
      </c>
      <c r="T188" s="38">
        <f>$T187+$J188</f>
        <v/>
      </c>
    </row>
    <row r="189">
      <c r="A189" s="39">
        <f>IF($F189="","",COUNT($F$14:$F189))</f>
        <v/>
      </c>
      <c r="B189" s="8" t="n"/>
      <c r="C189" s="6" t="n"/>
      <c r="D189" s="6" t="n"/>
      <c r="E189" s="40" t="n"/>
      <c r="F189" s="36" t="n"/>
      <c r="G189" s="41">
        <f>IF($B189="","",$S189)</f>
        <v/>
      </c>
      <c r="H189" s="42">
        <f>IF($I189&lt;=0,"",('Engine'!$B$8*MAX(0,MIN($O189,'Engine'!$B$3)-MAX($O188,'Engine'!$B$2))+'Engine'!$B$9*MAX(0,MIN($O189,'Engine'!$B$5)-MAX($O188,'Engine'!$B$4))+'Engine'!$B$10*MAX(0,MIN($O189,'Engine'!$B$7)-MAX($O188,'Engine'!$B$6)))/100/$H$8/$I189*$H$8*100)</f>
        <v/>
      </c>
      <c r="I189" s="43">
        <f>$O189-$O188</f>
        <v/>
      </c>
      <c r="J189" s="41">
        <f>IF($I189&lt;=0,0,$S188*('Engine'!$B$8*MAX(0,MIN($O189,'Engine'!$B$3)-MAX($O188,'Engine'!$B$2))+'Engine'!$B$9*MAX(0,MIN($O189,'Engine'!$B$5)-MAX($O188,'Engine'!$B$4))+'Engine'!$B$10*MAX(0,MIN($O189,'Engine'!$B$7)-MAX($O188,'Engine'!$B$6)))/100/$H$8)</f>
        <v/>
      </c>
      <c r="K189" s="41">
        <f>IF($B189="","",$T189)</f>
        <v/>
      </c>
      <c r="L189" s="36" t="n"/>
      <c r="M189" s="41">
        <f>IF($L189="","",ROUND($S189-$L189,2))</f>
        <v/>
      </c>
      <c r="N189" s="44">
        <f>IF(AND($H$10&lt;&gt;"",$O189&lt;=$H$10),"LOCKED","OPEN")</f>
        <v/>
      </c>
      <c r="O189" s="25">
        <f>IF($B189="",$O188,$B189)</f>
        <v/>
      </c>
      <c r="S189" s="38">
        <f>$S188-IF($F189="",0,$F189)</f>
        <v/>
      </c>
      <c r="T189" s="38">
        <f>$T188+$J189</f>
        <v/>
      </c>
    </row>
    <row r="190">
      <c r="A190" s="39">
        <f>IF($F190="","",COUNT($F$14:$F190))</f>
        <v/>
      </c>
      <c r="B190" s="8" t="n"/>
      <c r="C190" s="6" t="n"/>
      <c r="D190" s="6" t="n"/>
      <c r="E190" s="40" t="n"/>
      <c r="F190" s="36" t="n"/>
      <c r="G190" s="41">
        <f>IF($B190="","",$S190)</f>
        <v/>
      </c>
      <c r="H190" s="42">
        <f>IF($I190&lt;=0,"",('Engine'!$B$8*MAX(0,MIN($O190,'Engine'!$B$3)-MAX($O189,'Engine'!$B$2))+'Engine'!$B$9*MAX(0,MIN($O190,'Engine'!$B$5)-MAX($O189,'Engine'!$B$4))+'Engine'!$B$10*MAX(0,MIN($O190,'Engine'!$B$7)-MAX($O189,'Engine'!$B$6)))/100/$H$8/$I190*$H$8*100)</f>
        <v/>
      </c>
      <c r="I190" s="43">
        <f>$O190-$O189</f>
        <v/>
      </c>
      <c r="J190" s="41">
        <f>IF($I190&lt;=0,0,$S189*('Engine'!$B$8*MAX(0,MIN($O190,'Engine'!$B$3)-MAX($O189,'Engine'!$B$2))+'Engine'!$B$9*MAX(0,MIN($O190,'Engine'!$B$5)-MAX($O189,'Engine'!$B$4))+'Engine'!$B$10*MAX(0,MIN($O190,'Engine'!$B$7)-MAX($O189,'Engine'!$B$6)))/100/$H$8)</f>
        <v/>
      </c>
      <c r="K190" s="41">
        <f>IF($B190="","",$T190)</f>
        <v/>
      </c>
      <c r="L190" s="36" t="n"/>
      <c r="M190" s="41">
        <f>IF($L190="","",ROUND($S190-$L190,2))</f>
        <v/>
      </c>
      <c r="N190" s="44">
        <f>IF(AND($H$10&lt;&gt;"",$O190&lt;=$H$10),"LOCKED","OPEN")</f>
        <v/>
      </c>
      <c r="O190" s="25">
        <f>IF($B190="",$O189,$B190)</f>
        <v/>
      </c>
      <c r="S190" s="38">
        <f>$S189-IF($F190="",0,$F190)</f>
        <v/>
      </c>
      <c r="T190" s="38">
        <f>$T189+$J190</f>
        <v/>
      </c>
    </row>
    <row r="191">
      <c r="A191" s="39">
        <f>IF($F191="","",COUNT($F$14:$F191))</f>
        <v/>
      </c>
      <c r="B191" s="8" t="n"/>
      <c r="C191" s="6" t="n"/>
      <c r="D191" s="6" t="n"/>
      <c r="E191" s="40" t="n"/>
      <c r="F191" s="36" t="n"/>
      <c r="G191" s="41">
        <f>IF($B191="","",$S191)</f>
        <v/>
      </c>
      <c r="H191" s="42">
        <f>IF($I191&lt;=0,"",('Engine'!$B$8*MAX(0,MIN($O191,'Engine'!$B$3)-MAX($O190,'Engine'!$B$2))+'Engine'!$B$9*MAX(0,MIN($O191,'Engine'!$B$5)-MAX($O190,'Engine'!$B$4))+'Engine'!$B$10*MAX(0,MIN($O191,'Engine'!$B$7)-MAX($O190,'Engine'!$B$6)))/100/$H$8/$I191*$H$8*100)</f>
        <v/>
      </c>
      <c r="I191" s="43">
        <f>$O191-$O190</f>
        <v/>
      </c>
      <c r="J191" s="41">
        <f>IF($I191&lt;=0,0,$S190*('Engine'!$B$8*MAX(0,MIN($O191,'Engine'!$B$3)-MAX($O190,'Engine'!$B$2))+'Engine'!$B$9*MAX(0,MIN($O191,'Engine'!$B$5)-MAX($O190,'Engine'!$B$4))+'Engine'!$B$10*MAX(0,MIN($O191,'Engine'!$B$7)-MAX($O190,'Engine'!$B$6)))/100/$H$8)</f>
        <v/>
      </c>
      <c r="K191" s="41">
        <f>IF($B191="","",$T191)</f>
        <v/>
      </c>
      <c r="L191" s="36" t="n"/>
      <c r="M191" s="41">
        <f>IF($L191="","",ROUND($S191-$L191,2))</f>
        <v/>
      </c>
      <c r="N191" s="44">
        <f>IF(AND($H$10&lt;&gt;"",$O191&lt;=$H$10),"LOCKED","OPEN")</f>
        <v/>
      </c>
      <c r="O191" s="25">
        <f>IF($B191="",$O190,$B191)</f>
        <v/>
      </c>
      <c r="S191" s="38">
        <f>$S190-IF($F191="",0,$F191)</f>
        <v/>
      </c>
      <c r="T191" s="38">
        <f>$T190+$J191</f>
        <v/>
      </c>
    </row>
    <row r="192">
      <c r="A192" s="39">
        <f>IF($F192="","",COUNT($F$14:$F192))</f>
        <v/>
      </c>
      <c r="B192" s="8" t="n"/>
      <c r="C192" s="6" t="n"/>
      <c r="D192" s="6" t="n"/>
      <c r="E192" s="40" t="n"/>
      <c r="F192" s="36" t="n"/>
      <c r="G192" s="41">
        <f>IF($B192="","",$S192)</f>
        <v/>
      </c>
      <c r="H192" s="42">
        <f>IF($I192&lt;=0,"",('Engine'!$B$8*MAX(0,MIN($O192,'Engine'!$B$3)-MAX($O191,'Engine'!$B$2))+'Engine'!$B$9*MAX(0,MIN($O192,'Engine'!$B$5)-MAX($O191,'Engine'!$B$4))+'Engine'!$B$10*MAX(0,MIN($O192,'Engine'!$B$7)-MAX($O191,'Engine'!$B$6)))/100/$H$8/$I192*$H$8*100)</f>
        <v/>
      </c>
      <c r="I192" s="43">
        <f>$O192-$O191</f>
        <v/>
      </c>
      <c r="J192" s="41">
        <f>IF($I192&lt;=0,0,$S191*('Engine'!$B$8*MAX(0,MIN($O192,'Engine'!$B$3)-MAX($O191,'Engine'!$B$2))+'Engine'!$B$9*MAX(0,MIN($O192,'Engine'!$B$5)-MAX($O191,'Engine'!$B$4))+'Engine'!$B$10*MAX(0,MIN($O192,'Engine'!$B$7)-MAX($O191,'Engine'!$B$6)))/100/$H$8)</f>
        <v/>
      </c>
      <c r="K192" s="41">
        <f>IF($B192="","",$T192)</f>
        <v/>
      </c>
      <c r="L192" s="36" t="n"/>
      <c r="M192" s="41">
        <f>IF($L192="","",ROUND($S192-$L192,2))</f>
        <v/>
      </c>
      <c r="N192" s="44">
        <f>IF(AND($H$10&lt;&gt;"",$O192&lt;=$H$10),"LOCKED","OPEN")</f>
        <v/>
      </c>
      <c r="O192" s="25">
        <f>IF($B192="",$O191,$B192)</f>
        <v/>
      </c>
      <c r="S192" s="38">
        <f>$S191-IF($F192="",0,$F192)</f>
        <v/>
      </c>
      <c r="T192" s="38">
        <f>$T191+$J192</f>
        <v/>
      </c>
    </row>
    <row r="193">
      <c r="A193" s="39">
        <f>IF($F193="","",COUNT($F$14:$F193))</f>
        <v/>
      </c>
      <c r="B193" s="8" t="n"/>
      <c r="C193" s="6" t="n"/>
      <c r="D193" s="6" t="n"/>
      <c r="E193" s="40" t="n"/>
      <c r="F193" s="36" t="n"/>
      <c r="G193" s="41">
        <f>IF($B193="","",$S193)</f>
        <v/>
      </c>
      <c r="H193" s="42">
        <f>IF($I193&lt;=0,"",('Engine'!$B$8*MAX(0,MIN($O193,'Engine'!$B$3)-MAX($O192,'Engine'!$B$2))+'Engine'!$B$9*MAX(0,MIN($O193,'Engine'!$B$5)-MAX($O192,'Engine'!$B$4))+'Engine'!$B$10*MAX(0,MIN($O193,'Engine'!$B$7)-MAX($O192,'Engine'!$B$6)))/100/$H$8/$I193*$H$8*100)</f>
        <v/>
      </c>
      <c r="I193" s="43">
        <f>$O193-$O192</f>
        <v/>
      </c>
      <c r="J193" s="41">
        <f>IF($I193&lt;=0,0,$S192*('Engine'!$B$8*MAX(0,MIN($O193,'Engine'!$B$3)-MAX($O192,'Engine'!$B$2))+'Engine'!$B$9*MAX(0,MIN($O193,'Engine'!$B$5)-MAX($O192,'Engine'!$B$4))+'Engine'!$B$10*MAX(0,MIN($O193,'Engine'!$B$7)-MAX($O192,'Engine'!$B$6)))/100/$H$8)</f>
        <v/>
      </c>
      <c r="K193" s="41">
        <f>IF($B193="","",$T193)</f>
        <v/>
      </c>
      <c r="L193" s="36" t="n"/>
      <c r="M193" s="41">
        <f>IF($L193="","",ROUND($S193-$L193,2))</f>
        <v/>
      </c>
      <c r="N193" s="44">
        <f>IF(AND($H$10&lt;&gt;"",$O193&lt;=$H$10),"LOCKED","OPEN")</f>
        <v/>
      </c>
      <c r="O193" s="25">
        <f>IF($B193="",$O192,$B193)</f>
        <v/>
      </c>
      <c r="S193" s="38">
        <f>$S192-IF($F193="",0,$F193)</f>
        <v/>
      </c>
      <c r="T193" s="38">
        <f>$T192+$J193</f>
        <v/>
      </c>
    </row>
    <row r="194">
      <c r="A194" s="39">
        <f>IF($F194="","",COUNT($F$14:$F194))</f>
        <v/>
      </c>
      <c r="B194" s="8" t="n"/>
      <c r="C194" s="6" t="n"/>
      <c r="D194" s="6" t="n"/>
      <c r="E194" s="40" t="n"/>
      <c r="F194" s="36" t="n"/>
      <c r="G194" s="41">
        <f>IF($B194="","",$S194)</f>
        <v/>
      </c>
      <c r="H194" s="42">
        <f>IF($I194&lt;=0,"",('Engine'!$B$8*MAX(0,MIN($O194,'Engine'!$B$3)-MAX($O193,'Engine'!$B$2))+'Engine'!$B$9*MAX(0,MIN($O194,'Engine'!$B$5)-MAX($O193,'Engine'!$B$4))+'Engine'!$B$10*MAX(0,MIN($O194,'Engine'!$B$7)-MAX($O193,'Engine'!$B$6)))/100/$H$8/$I194*$H$8*100)</f>
        <v/>
      </c>
      <c r="I194" s="43">
        <f>$O194-$O193</f>
        <v/>
      </c>
      <c r="J194" s="41">
        <f>IF($I194&lt;=0,0,$S193*('Engine'!$B$8*MAX(0,MIN($O194,'Engine'!$B$3)-MAX($O193,'Engine'!$B$2))+'Engine'!$B$9*MAX(0,MIN($O194,'Engine'!$B$5)-MAX($O193,'Engine'!$B$4))+'Engine'!$B$10*MAX(0,MIN($O194,'Engine'!$B$7)-MAX($O193,'Engine'!$B$6)))/100/$H$8)</f>
        <v/>
      </c>
      <c r="K194" s="41">
        <f>IF($B194="","",$T194)</f>
        <v/>
      </c>
      <c r="L194" s="36" t="n"/>
      <c r="M194" s="41">
        <f>IF($L194="","",ROUND($S194-$L194,2))</f>
        <v/>
      </c>
      <c r="N194" s="44">
        <f>IF(AND($H$10&lt;&gt;"",$O194&lt;=$H$10),"LOCKED","OPEN")</f>
        <v/>
      </c>
      <c r="O194" s="25">
        <f>IF($B194="",$O193,$B194)</f>
        <v/>
      </c>
      <c r="S194" s="38">
        <f>$S193-IF($F194="",0,$F194)</f>
        <v/>
      </c>
      <c r="T194" s="38">
        <f>$T193+$J194</f>
        <v/>
      </c>
    </row>
    <row r="195">
      <c r="A195" s="45" t="inlineStr">
        <is>
          <t>INT</t>
        </is>
      </c>
      <c r="B195" s="46">
        <f>$Q$183</f>
        <v/>
      </c>
      <c r="C195" s="47" t="n"/>
      <c r="D195" s="48">
        <f>"Interest for the quarter debited &amp; capitalised   ·   rate(s) applied :  "&amp;$R$183</f>
        <v/>
      </c>
      <c r="E195" s="49">
        <f>ROUND($T194+$J195,2)</f>
        <v/>
      </c>
      <c r="F195" s="50" t="n"/>
      <c r="G195" s="49">
        <f>$S195</f>
        <v/>
      </c>
      <c r="H195" s="51">
        <f>IF($I195&lt;=0,"",('Engine'!$B$8*MAX(0,MIN($O195,'Engine'!$B$3)-MAX($O194,'Engine'!$B$2))+'Engine'!$B$9*MAX(0,MIN($O195,'Engine'!$B$5)-MAX($O194,'Engine'!$B$4))+'Engine'!$B$10*MAX(0,MIN($O195,'Engine'!$B$7)-MAX($O194,'Engine'!$B$6)))/100/$H$8/$I195*$H$8*100)</f>
        <v/>
      </c>
      <c r="I195" s="52">
        <f>$O195-$O194</f>
        <v/>
      </c>
      <c r="J195" s="53">
        <f>IF($I195&lt;=0,0,$S194*('Engine'!$B$8*MAX(0,MIN($O195,'Engine'!$B$3)-MAX($O194,'Engine'!$B$2))+'Engine'!$B$9*MAX(0,MIN($O195,'Engine'!$B$5)-MAX($O194,'Engine'!$B$4))+'Engine'!$B$10*MAX(0,MIN($O195,'Engine'!$B$7)-MAX($O194,'Engine'!$B$6)))/100/$H$8)</f>
        <v/>
      </c>
      <c r="K195" s="53" t="n">
        <v>0</v>
      </c>
      <c r="L195" s="36" t="n"/>
      <c r="M195" s="53">
        <f>IF($L195="","",ROUND($S195-$L195,2))</f>
        <v/>
      </c>
      <c r="N195" s="54">
        <f>IF(AND($H$10&lt;&gt;"",$O195&lt;=$H$10),"LOCKED","OPEN")</f>
        <v/>
      </c>
      <c r="O195" s="25">
        <f>$Q$183</f>
        <v/>
      </c>
      <c r="S195" s="38">
        <f>$S194+$E195</f>
        <v/>
      </c>
      <c r="T195" s="38" t="n">
        <v>0</v>
      </c>
    </row>
    <row r="196" ht="18" customHeight="1">
      <c r="A196" s="24">
        <f>IF($P$196=0,"QUARTER 15          –  enter the Balance B/F date above to activate this quarter  –","QUARTER 15          "&amp;TEXT($P$196,"DD-MM-YYYY")&amp;"   to   "&amp;TEXT($Q$196,"DD-MM-YYYY")&amp;"          "&amp;IF(AND($H$10&lt;&gt;"",$Q$196&lt;=$H$10),"■ LOCKED – reconciled, no entry allowed","▷ OPEN for entry")&amp;"          RATE(S) APPLIED :  "&amp;$R$196)</f>
        <v/>
      </c>
      <c r="O196" s="25">
        <f>'Engine'!$E$16</f>
        <v/>
      </c>
      <c r="P196" s="25">
        <f>'Engine'!$E$16</f>
        <v/>
      </c>
      <c r="Q196" s="25">
        <f>'Engine'!$F$16</f>
        <v/>
      </c>
      <c r="R196" s="26">
        <f>'Engine'!$G$16</f>
        <v/>
      </c>
    </row>
    <row r="197">
      <c r="A197" s="27" t="inlineStr">
        <is>
          <t>B/F</t>
        </is>
      </c>
      <c r="B197" s="28">
        <f>$P$196</f>
        <v/>
      </c>
      <c r="C197" s="29" t="n"/>
      <c r="D197" s="30">
        <f>"Balance carried forward from quarter 14 – interest capitalised"</f>
        <v/>
      </c>
      <c r="E197" s="31" t="n"/>
      <c r="F197" s="31" t="n"/>
      <c r="G197" s="32">
        <f>$S$197</f>
        <v/>
      </c>
      <c r="H197" s="33" t="n"/>
      <c r="I197" s="34">
        <f>$O$197-$O$195</f>
        <v/>
      </c>
      <c r="J197" s="35" t="n">
        <v>0</v>
      </c>
      <c r="K197" s="35" t="n">
        <v>0</v>
      </c>
      <c r="L197" s="36" t="n"/>
      <c r="M197" s="35">
        <f>IF($L$197="","",ROUND($S$197-$L$197,2))</f>
        <v/>
      </c>
      <c r="N197" s="37">
        <f>IF(AND($H$10&lt;&gt;"",$O$197&lt;=$H$10),"LOCKED","OPEN")</f>
        <v/>
      </c>
      <c r="O197" s="25">
        <f>$P$196</f>
        <v/>
      </c>
      <c r="S197" s="38">
        <f>$S$195</f>
        <v/>
      </c>
      <c r="T197" s="38" t="n">
        <v>0</v>
      </c>
    </row>
    <row r="198">
      <c r="A198" s="39">
        <f>IF($F198="","",COUNT($F$14:$F198))</f>
        <v/>
      </c>
      <c r="B198" s="8" t="n"/>
      <c r="C198" s="6" t="n"/>
      <c r="D198" s="6" t="n"/>
      <c r="E198" s="40" t="n"/>
      <c r="F198" s="36" t="n"/>
      <c r="G198" s="41">
        <f>IF($B198="","",$S198)</f>
        <v/>
      </c>
      <c r="H198" s="42">
        <f>IF($I198&lt;=0,"",('Engine'!$B$8*MAX(0,MIN($O198,'Engine'!$B$3)-MAX($O197,'Engine'!$B$2))+'Engine'!$B$9*MAX(0,MIN($O198,'Engine'!$B$5)-MAX($O197,'Engine'!$B$4))+'Engine'!$B$10*MAX(0,MIN($O198,'Engine'!$B$7)-MAX($O197,'Engine'!$B$6)))/100/$H$8/$I198*$H$8*100)</f>
        <v/>
      </c>
      <c r="I198" s="43">
        <f>$O198-$O197</f>
        <v/>
      </c>
      <c r="J198" s="41">
        <f>IF($I198&lt;=0,0,$S197*('Engine'!$B$8*MAX(0,MIN($O198,'Engine'!$B$3)-MAX($O197,'Engine'!$B$2))+'Engine'!$B$9*MAX(0,MIN($O198,'Engine'!$B$5)-MAX($O197,'Engine'!$B$4))+'Engine'!$B$10*MAX(0,MIN($O198,'Engine'!$B$7)-MAX($O197,'Engine'!$B$6)))/100/$H$8)</f>
        <v/>
      </c>
      <c r="K198" s="41">
        <f>IF($B198="","",$T198)</f>
        <v/>
      </c>
      <c r="L198" s="36" t="n"/>
      <c r="M198" s="41">
        <f>IF($L198="","",ROUND($S198-$L198,2))</f>
        <v/>
      </c>
      <c r="N198" s="44">
        <f>IF(AND($H$10&lt;&gt;"",$O198&lt;=$H$10),"LOCKED","OPEN")</f>
        <v/>
      </c>
      <c r="O198" s="25">
        <f>IF($B198="",$O197,$B198)</f>
        <v/>
      </c>
      <c r="S198" s="38">
        <f>$S197-IF($F198="",0,$F198)</f>
        <v/>
      </c>
      <c r="T198" s="38">
        <f>$T197+$J198</f>
        <v/>
      </c>
    </row>
    <row r="199">
      <c r="A199" s="39">
        <f>IF($F199="","",COUNT($F$14:$F199))</f>
        <v/>
      </c>
      <c r="B199" s="8" t="n"/>
      <c r="C199" s="6" t="n"/>
      <c r="D199" s="6" t="n"/>
      <c r="E199" s="40" t="n"/>
      <c r="F199" s="36" t="n"/>
      <c r="G199" s="41">
        <f>IF($B199="","",$S199)</f>
        <v/>
      </c>
      <c r="H199" s="42">
        <f>IF($I199&lt;=0,"",('Engine'!$B$8*MAX(0,MIN($O199,'Engine'!$B$3)-MAX($O198,'Engine'!$B$2))+'Engine'!$B$9*MAX(0,MIN($O199,'Engine'!$B$5)-MAX($O198,'Engine'!$B$4))+'Engine'!$B$10*MAX(0,MIN($O199,'Engine'!$B$7)-MAX($O198,'Engine'!$B$6)))/100/$H$8/$I199*$H$8*100)</f>
        <v/>
      </c>
      <c r="I199" s="43">
        <f>$O199-$O198</f>
        <v/>
      </c>
      <c r="J199" s="41">
        <f>IF($I199&lt;=0,0,$S198*('Engine'!$B$8*MAX(0,MIN($O199,'Engine'!$B$3)-MAX($O198,'Engine'!$B$2))+'Engine'!$B$9*MAX(0,MIN($O199,'Engine'!$B$5)-MAX($O198,'Engine'!$B$4))+'Engine'!$B$10*MAX(0,MIN($O199,'Engine'!$B$7)-MAX($O198,'Engine'!$B$6)))/100/$H$8)</f>
        <v/>
      </c>
      <c r="K199" s="41">
        <f>IF($B199="","",$T199)</f>
        <v/>
      </c>
      <c r="L199" s="36" t="n"/>
      <c r="M199" s="41">
        <f>IF($L199="","",ROUND($S199-$L199,2))</f>
        <v/>
      </c>
      <c r="N199" s="44">
        <f>IF(AND($H$10&lt;&gt;"",$O199&lt;=$H$10),"LOCKED","OPEN")</f>
        <v/>
      </c>
      <c r="O199" s="25">
        <f>IF($B199="",$O198,$B199)</f>
        <v/>
      </c>
      <c r="S199" s="38">
        <f>$S198-IF($F199="",0,$F199)</f>
        <v/>
      </c>
      <c r="T199" s="38">
        <f>$T198+$J199</f>
        <v/>
      </c>
    </row>
    <row r="200">
      <c r="A200" s="39">
        <f>IF($F200="","",COUNT($F$14:$F200))</f>
        <v/>
      </c>
      <c r="B200" s="8" t="n"/>
      <c r="C200" s="6" t="n"/>
      <c r="D200" s="6" t="n"/>
      <c r="E200" s="40" t="n"/>
      <c r="F200" s="36" t="n"/>
      <c r="G200" s="41">
        <f>IF($B200="","",$S200)</f>
        <v/>
      </c>
      <c r="H200" s="42">
        <f>IF($I200&lt;=0,"",('Engine'!$B$8*MAX(0,MIN($O200,'Engine'!$B$3)-MAX($O199,'Engine'!$B$2))+'Engine'!$B$9*MAX(0,MIN($O200,'Engine'!$B$5)-MAX($O199,'Engine'!$B$4))+'Engine'!$B$10*MAX(0,MIN($O200,'Engine'!$B$7)-MAX($O199,'Engine'!$B$6)))/100/$H$8/$I200*$H$8*100)</f>
        <v/>
      </c>
      <c r="I200" s="43">
        <f>$O200-$O199</f>
        <v/>
      </c>
      <c r="J200" s="41">
        <f>IF($I200&lt;=0,0,$S199*('Engine'!$B$8*MAX(0,MIN($O200,'Engine'!$B$3)-MAX($O199,'Engine'!$B$2))+'Engine'!$B$9*MAX(0,MIN($O200,'Engine'!$B$5)-MAX($O199,'Engine'!$B$4))+'Engine'!$B$10*MAX(0,MIN($O200,'Engine'!$B$7)-MAX($O199,'Engine'!$B$6)))/100/$H$8)</f>
        <v/>
      </c>
      <c r="K200" s="41">
        <f>IF($B200="","",$T200)</f>
        <v/>
      </c>
      <c r="L200" s="36" t="n"/>
      <c r="M200" s="41">
        <f>IF($L200="","",ROUND($S200-$L200,2))</f>
        <v/>
      </c>
      <c r="N200" s="44">
        <f>IF(AND($H$10&lt;&gt;"",$O200&lt;=$H$10),"LOCKED","OPEN")</f>
        <v/>
      </c>
      <c r="O200" s="25">
        <f>IF($B200="",$O199,$B200)</f>
        <v/>
      </c>
      <c r="S200" s="38">
        <f>$S199-IF($F200="",0,$F200)</f>
        <v/>
      </c>
      <c r="T200" s="38">
        <f>$T199+$J200</f>
        <v/>
      </c>
    </row>
    <row r="201">
      <c r="A201" s="39">
        <f>IF($F201="","",COUNT($F$14:$F201))</f>
        <v/>
      </c>
      <c r="B201" s="8" t="n"/>
      <c r="C201" s="6" t="n"/>
      <c r="D201" s="6" t="n"/>
      <c r="E201" s="40" t="n"/>
      <c r="F201" s="36" t="n"/>
      <c r="G201" s="41">
        <f>IF($B201="","",$S201)</f>
        <v/>
      </c>
      <c r="H201" s="42">
        <f>IF($I201&lt;=0,"",('Engine'!$B$8*MAX(0,MIN($O201,'Engine'!$B$3)-MAX($O200,'Engine'!$B$2))+'Engine'!$B$9*MAX(0,MIN($O201,'Engine'!$B$5)-MAX($O200,'Engine'!$B$4))+'Engine'!$B$10*MAX(0,MIN($O201,'Engine'!$B$7)-MAX($O200,'Engine'!$B$6)))/100/$H$8/$I201*$H$8*100)</f>
        <v/>
      </c>
      <c r="I201" s="43">
        <f>$O201-$O200</f>
        <v/>
      </c>
      <c r="J201" s="41">
        <f>IF($I201&lt;=0,0,$S200*('Engine'!$B$8*MAX(0,MIN($O201,'Engine'!$B$3)-MAX($O200,'Engine'!$B$2))+'Engine'!$B$9*MAX(0,MIN($O201,'Engine'!$B$5)-MAX($O200,'Engine'!$B$4))+'Engine'!$B$10*MAX(0,MIN($O201,'Engine'!$B$7)-MAX($O200,'Engine'!$B$6)))/100/$H$8)</f>
        <v/>
      </c>
      <c r="K201" s="41">
        <f>IF($B201="","",$T201)</f>
        <v/>
      </c>
      <c r="L201" s="36" t="n"/>
      <c r="M201" s="41">
        <f>IF($L201="","",ROUND($S201-$L201,2))</f>
        <v/>
      </c>
      <c r="N201" s="44">
        <f>IF(AND($H$10&lt;&gt;"",$O201&lt;=$H$10),"LOCKED","OPEN")</f>
        <v/>
      </c>
      <c r="O201" s="25">
        <f>IF($B201="",$O200,$B201)</f>
        <v/>
      </c>
      <c r="S201" s="38">
        <f>$S200-IF($F201="",0,$F201)</f>
        <v/>
      </c>
      <c r="T201" s="38">
        <f>$T200+$J201</f>
        <v/>
      </c>
    </row>
    <row r="202">
      <c r="A202" s="39">
        <f>IF($F202="","",COUNT($F$14:$F202))</f>
        <v/>
      </c>
      <c r="B202" s="8" t="n"/>
      <c r="C202" s="6" t="n"/>
      <c r="D202" s="6" t="n"/>
      <c r="E202" s="40" t="n"/>
      <c r="F202" s="36" t="n"/>
      <c r="G202" s="41">
        <f>IF($B202="","",$S202)</f>
        <v/>
      </c>
      <c r="H202" s="42">
        <f>IF($I202&lt;=0,"",('Engine'!$B$8*MAX(0,MIN($O202,'Engine'!$B$3)-MAX($O201,'Engine'!$B$2))+'Engine'!$B$9*MAX(0,MIN($O202,'Engine'!$B$5)-MAX($O201,'Engine'!$B$4))+'Engine'!$B$10*MAX(0,MIN($O202,'Engine'!$B$7)-MAX($O201,'Engine'!$B$6)))/100/$H$8/$I202*$H$8*100)</f>
        <v/>
      </c>
      <c r="I202" s="43">
        <f>$O202-$O201</f>
        <v/>
      </c>
      <c r="J202" s="41">
        <f>IF($I202&lt;=0,0,$S201*('Engine'!$B$8*MAX(0,MIN($O202,'Engine'!$B$3)-MAX($O201,'Engine'!$B$2))+'Engine'!$B$9*MAX(0,MIN($O202,'Engine'!$B$5)-MAX($O201,'Engine'!$B$4))+'Engine'!$B$10*MAX(0,MIN($O202,'Engine'!$B$7)-MAX($O201,'Engine'!$B$6)))/100/$H$8)</f>
        <v/>
      </c>
      <c r="K202" s="41">
        <f>IF($B202="","",$T202)</f>
        <v/>
      </c>
      <c r="L202" s="36" t="n"/>
      <c r="M202" s="41">
        <f>IF($L202="","",ROUND($S202-$L202,2))</f>
        <v/>
      </c>
      <c r="N202" s="44">
        <f>IF(AND($H$10&lt;&gt;"",$O202&lt;=$H$10),"LOCKED","OPEN")</f>
        <v/>
      </c>
      <c r="O202" s="25">
        <f>IF($B202="",$O201,$B202)</f>
        <v/>
      </c>
      <c r="S202" s="38">
        <f>$S201-IF($F202="",0,$F202)</f>
        <v/>
      </c>
      <c r="T202" s="38">
        <f>$T201+$J202</f>
        <v/>
      </c>
    </row>
    <row r="203">
      <c r="A203" s="39">
        <f>IF($F203="","",COUNT($F$14:$F203))</f>
        <v/>
      </c>
      <c r="B203" s="8" t="n"/>
      <c r="C203" s="6" t="n"/>
      <c r="D203" s="6" t="n"/>
      <c r="E203" s="40" t="n"/>
      <c r="F203" s="36" t="n"/>
      <c r="G203" s="41">
        <f>IF($B203="","",$S203)</f>
        <v/>
      </c>
      <c r="H203" s="42">
        <f>IF($I203&lt;=0,"",('Engine'!$B$8*MAX(0,MIN($O203,'Engine'!$B$3)-MAX($O202,'Engine'!$B$2))+'Engine'!$B$9*MAX(0,MIN($O203,'Engine'!$B$5)-MAX($O202,'Engine'!$B$4))+'Engine'!$B$10*MAX(0,MIN($O203,'Engine'!$B$7)-MAX($O202,'Engine'!$B$6)))/100/$H$8/$I203*$H$8*100)</f>
        <v/>
      </c>
      <c r="I203" s="43">
        <f>$O203-$O202</f>
        <v/>
      </c>
      <c r="J203" s="41">
        <f>IF($I203&lt;=0,0,$S202*('Engine'!$B$8*MAX(0,MIN($O203,'Engine'!$B$3)-MAX($O202,'Engine'!$B$2))+'Engine'!$B$9*MAX(0,MIN($O203,'Engine'!$B$5)-MAX($O202,'Engine'!$B$4))+'Engine'!$B$10*MAX(0,MIN($O203,'Engine'!$B$7)-MAX($O202,'Engine'!$B$6)))/100/$H$8)</f>
        <v/>
      </c>
      <c r="K203" s="41">
        <f>IF($B203="","",$T203)</f>
        <v/>
      </c>
      <c r="L203" s="36" t="n"/>
      <c r="M203" s="41">
        <f>IF($L203="","",ROUND($S203-$L203,2))</f>
        <v/>
      </c>
      <c r="N203" s="44">
        <f>IF(AND($H$10&lt;&gt;"",$O203&lt;=$H$10),"LOCKED","OPEN")</f>
        <v/>
      </c>
      <c r="O203" s="25">
        <f>IF($B203="",$O202,$B203)</f>
        <v/>
      </c>
      <c r="S203" s="38">
        <f>$S202-IF($F203="",0,$F203)</f>
        <v/>
      </c>
      <c r="T203" s="38">
        <f>$T202+$J203</f>
        <v/>
      </c>
    </row>
    <row r="204">
      <c r="A204" s="39">
        <f>IF($F204="","",COUNT($F$14:$F204))</f>
        <v/>
      </c>
      <c r="B204" s="8" t="n"/>
      <c r="C204" s="6" t="n"/>
      <c r="D204" s="6" t="n"/>
      <c r="E204" s="40" t="n"/>
      <c r="F204" s="36" t="n"/>
      <c r="G204" s="41">
        <f>IF($B204="","",$S204)</f>
        <v/>
      </c>
      <c r="H204" s="42">
        <f>IF($I204&lt;=0,"",('Engine'!$B$8*MAX(0,MIN($O204,'Engine'!$B$3)-MAX($O203,'Engine'!$B$2))+'Engine'!$B$9*MAX(0,MIN($O204,'Engine'!$B$5)-MAX($O203,'Engine'!$B$4))+'Engine'!$B$10*MAX(0,MIN($O204,'Engine'!$B$7)-MAX($O203,'Engine'!$B$6)))/100/$H$8/$I204*$H$8*100)</f>
        <v/>
      </c>
      <c r="I204" s="43">
        <f>$O204-$O203</f>
        <v/>
      </c>
      <c r="J204" s="41">
        <f>IF($I204&lt;=0,0,$S203*('Engine'!$B$8*MAX(0,MIN($O204,'Engine'!$B$3)-MAX($O203,'Engine'!$B$2))+'Engine'!$B$9*MAX(0,MIN($O204,'Engine'!$B$5)-MAX($O203,'Engine'!$B$4))+'Engine'!$B$10*MAX(0,MIN($O204,'Engine'!$B$7)-MAX($O203,'Engine'!$B$6)))/100/$H$8)</f>
        <v/>
      </c>
      <c r="K204" s="41">
        <f>IF($B204="","",$T204)</f>
        <v/>
      </c>
      <c r="L204" s="36" t="n"/>
      <c r="M204" s="41">
        <f>IF($L204="","",ROUND($S204-$L204,2))</f>
        <v/>
      </c>
      <c r="N204" s="44">
        <f>IF(AND($H$10&lt;&gt;"",$O204&lt;=$H$10),"LOCKED","OPEN")</f>
        <v/>
      </c>
      <c r="O204" s="25">
        <f>IF($B204="",$O203,$B204)</f>
        <v/>
      </c>
      <c r="S204" s="38">
        <f>$S203-IF($F204="",0,$F204)</f>
        <v/>
      </c>
      <c r="T204" s="38">
        <f>$T203+$J204</f>
        <v/>
      </c>
    </row>
    <row r="205">
      <c r="A205" s="39">
        <f>IF($F205="","",COUNT($F$14:$F205))</f>
        <v/>
      </c>
      <c r="B205" s="8" t="n"/>
      <c r="C205" s="6" t="n"/>
      <c r="D205" s="6" t="n"/>
      <c r="E205" s="40" t="n"/>
      <c r="F205" s="36" t="n"/>
      <c r="G205" s="41">
        <f>IF($B205="","",$S205)</f>
        <v/>
      </c>
      <c r="H205" s="42">
        <f>IF($I205&lt;=0,"",('Engine'!$B$8*MAX(0,MIN($O205,'Engine'!$B$3)-MAX($O204,'Engine'!$B$2))+'Engine'!$B$9*MAX(0,MIN($O205,'Engine'!$B$5)-MAX($O204,'Engine'!$B$4))+'Engine'!$B$10*MAX(0,MIN($O205,'Engine'!$B$7)-MAX($O204,'Engine'!$B$6)))/100/$H$8/$I205*$H$8*100)</f>
        <v/>
      </c>
      <c r="I205" s="43">
        <f>$O205-$O204</f>
        <v/>
      </c>
      <c r="J205" s="41">
        <f>IF($I205&lt;=0,0,$S204*('Engine'!$B$8*MAX(0,MIN($O205,'Engine'!$B$3)-MAX($O204,'Engine'!$B$2))+'Engine'!$B$9*MAX(0,MIN($O205,'Engine'!$B$5)-MAX($O204,'Engine'!$B$4))+'Engine'!$B$10*MAX(0,MIN($O205,'Engine'!$B$7)-MAX($O204,'Engine'!$B$6)))/100/$H$8)</f>
        <v/>
      </c>
      <c r="K205" s="41">
        <f>IF($B205="","",$T205)</f>
        <v/>
      </c>
      <c r="L205" s="36" t="n"/>
      <c r="M205" s="41">
        <f>IF($L205="","",ROUND($S205-$L205,2))</f>
        <v/>
      </c>
      <c r="N205" s="44">
        <f>IF(AND($H$10&lt;&gt;"",$O205&lt;=$H$10),"LOCKED","OPEN")</f>
        <v/>
      </c>
      <c r="O205" s="25">
        <f>IF($B205="",$O204,$B205)</f>
        <v/>
      </c>
      <c r="S205" s="38">
        <f>$S204-IF($F205="",0,$F205)</f>
        <v/>
      </c>
      <c r="T205" s="38">
        <f>$T204+$J205</f>
        <v/>
      </c>
    </row>
    <row r="206">
      <c r="A206" s="39">
        <f>IF($F206="","",COUNT($F$14:$F206))</f>
        <v/>
      </c>
      <c r="B206" s="8" t="n"/>
      <c r="C206" s="6" t="n"/>
      <c r="D206" s="6" t="n"/>
      <c r="E206" s="40" t="n"/>
      <c r="F206" s="36" t="n"/>
      <c r="G206" s="41">
        <f>IF($B206="","",$S206)</f>
        <v/>
      </c>
      <c r="H206" s="42">
        <f>IF($I206&lt;=0,"",('Engine'!$B$8*MAX(0,MIN($O206,'Engine'!$B$3)-MAX($O205,'Engine'!$B$2))+'Engine'!$B$9*MAX(0,MIN($O206,'Engine'!$B$5)-MAX($O205,'Engine'!$B$4))+'Engine'!$B$10*MAX(0,MIN($O206,'Engine'!$B$7)-MAX($O205,'Engine'!$B$6)))/100/$H$8/$I206*$H$8*100)</f>
        <v/>
      </c>
      <c r="I206" s="43">
        <f>$O206-$O205</f>
        <v/>
      </c>
      <c r="J206" s="41">
        <f>IF($I206&lt;=0,0,$S205*('Engine'!$B$8*MAX(0,MIN($O206,'Engine'!$B$3)-MAX($O205,'Engine'!$B$2))+'Engine'!$B$9*MAX(0,MIN($O206,'Engine'!$B$5)-MAX($O205,'Engine'!$B$4))+'Engine'!$B$10*MAX(0,MIN($O206,'Engine'!$B$7)-MAX($O205,'Engine'!$B$6)))/100/$H$8)</f>
        <v/>
      </c>
      <c r="K206" s="41">
        <f>IF($B206="","",$T206)</f>
        <v/>
      </c>
      <c r="L206" s="36" t="n"/>
      <c r="M206" s="41">
        <f>IF($L206="","",ROUND($S206-$L206,2))</f>
        <v/>
      </c>
      <c r="N206" s="44">
        <f>IF(AND($H$10&lt;&gt;"",$O206&lt;=$H$10),"LOCKED","OPEN")</f>
        <v/>
      </c>
      <c r="O206" s="25">
        <f>IF($B206="",$O205,$B206)</f>
        <v/>
      </c>
      <c r="S206" s="38">
        <f>$S205-IF($F206="",0,$F206)</f>
        <v/>
      </c>
      <c r="T206" s="38">
        <f>$T205+$J206</f>
        <v/>
      </c>
    </row>
    <row r="207">
      <c r="A207" s="39">
        <f>IF($F207="","",COUNT($F$14:$F207))</f>
        <v/>
      </c>
      <c r="B207" s="8" t="n"/>
      <c r="C207" s="6" t="n"/>
      <c r="D207" s="6" t="n"/>
      <c r="E207" s="40" t="n"/>
      <c r="F207" s="36" t="n"/>
      <c r="G207" s="41">
        <f>IF($B207="","",$S207)</f>
        <v/>
      </c>
      <c r="H207" s="42">
        <f>IF($I207&lt;=0,"",('Engine'!$B$8*MAX(0,MIN($O207,'Engine'!$B$3)-MAX($O206,'Engine'!$B$2))+'Engine'!$B$9*MAX(0,MIN($O207,'Engine'!$B$5)-MAX($O206,'Engine'!$B$4))+'Engine'!$B$10*MAX(0,MIN($O207,'Engine'!$B$7)-MAX($O206,'Engine'!$B$6)))/100/$H$8/$I207*$H$8*100)</f>
        <v/>
      </c>
      <c r="I207" s="43">
        <f>$O207-$O206</f>
        <v/>
      </c>
      <c r="J207" s="41">
        <f>IF($I207&lt;=0,0,$S206*('Engine'!$B$8*MAX(0,MIN($O207,'Engine'!$B$3)-MAX($O206,'Engine'!$B$2))+'Engine'!$B$9*MAX(0,MIN($O207,'Engine'!$B$5)-MAX($O206,'Engine'!$B$4))+'Engine'!$B$10*MAX(0,MIN($O207,'Engine'!$B$7)-MAX($O206,'Engine'!$B$6)))/100/$H$8)</f>
        <v/>
      </c>
      <c r="K207" s="41">
        <f>IF($B207="","",$T207)</f>
        <v/>
      </c>
      <c r="L207" s="36" t="n"/>
      <c r="M207" s="41">
        <f>IF($L207="","",ROUND($S207-$L207,2))</f>
        <v/>
      </c>
      <c r="N207" s="44">
        <f>IF(AND($H$10&lt;&gt;"",$O207&lt;=$H$10),"LOCKED","OPEN")</f>
        <v/>
      </c>
      <c r="O207" s="25">
        <f>IF($B207="",$O206,$B207)</f>
        <v/>
      </c>
      <c r="S207" s="38">
        <f>$S206-IF($F207="",0,$F207)</f>
        <v/>
      </c>
      <c r="T207" s="38">
        <f>$T206+$J207</f>
        <v/>
      </c>
    </row>
    <row r="208">
      <c r="A208" s="45" t="inlineStr">
        <is>
          <t>INT</t>
        </is>
      </c>
      <c r="B208" s="46">
        <f>$Q$196</f>
        <v/>
      </c>
      <c r="C208" s="47" t="n"/>
      <c r="D208" s="48">
        <f>"Interest for the quarter debited &amp; capitalised   ·   rate(s) applied :  "&amp;$R$196</f>
        <v/>
      </c>
      <c r="E208" s="49">
        <f>ROUND($T207+$J208,2)</f>
        <v/>
      </c>
      <c r="F208" s="50" t="n"/>
      <c r="G208" s="49">
        <f>$S208</f>
        <v/>
      </c>
      <c r="H208" s="51">
        <f>IF($I208&lt;=0,"",('Engine'!$B$8*MAX(0,MIN($O208,'Engine'!$B$3)-MAX($O207,'Engine'!$B$2))+'Engine'!$B$9*MAX(0,MIN($O208,'Engine'!$B$5)-MAX($O207,'Engine'!$B$4))+'Engine'!$B$10*MAX(0,MIN($O208,'Engine'!$B$7)-MAX($O207,'Engine'!$B$6)))/100/$H$8/$I208*$H$8*100)</f>
        <v/>
      </c>
      <c r="I208" s="52">
        <f>$O208-$O207</f>
        <v/>
      </c>
      <c r="J208" s="53">
        <f>IF($I208&lt;=0,0,$S207*('Engine'!$B$8*MAX(0,MIN($O208,'Engine'!$B$3)-MAX($O207,'Engine'!$B$2))+'Engine'!$B$9*MAX(0,MIN($O208,'Engine'!$B$5)-MAX($O207,'Engine'!$B$4))+'Engine'!$B$10*MAX(0,MIN($O208,'Engine'!$B$7)-MAX($O207,'Engine'!$B$6)))/100/$H$8)</f>
        <v/>
      </c>
      <c r="K208" s="53" t="n">
        <v>0</v>
      </c>
      <c r="L208" s="36" t="n"/>
      <c r="M208" s="53">
        <f>IF($L208="","",ROUND($S208-$L208,2))</f>
        <v/>
      </c>
      <c r="N208" s="54">
        <f>IF(AND($H$10&lt;&gt;"",$O208&lt;=$H$10),"LOCKED","OPEN")</f>
        <v/>
      </c>
      <c r="O208" s="25">
        <f>$Q$196</f>
        <v/>
      </c>
      <c r="S208" s="38">
        <f>$S207+$E208</f>
        <v/>
      </c>
      <c r="T208" s="38" t="n">
        <v>0</v>
      </c>
    </row>
    <row r="209" ht="18" customHeight="1">
      <c r="A209" s="24">
        <f>IF($P$209=0,"QUARTER 16          –  enter the Balance B/F date above to activate this quarter  –","QUARTER 16          "&amp;TEXT($P$209,"DD-MM-YYYY")&amp;"   to   "&amp;TEXT($Q$209,"DD-MM-YYYY")&amp;"          "&amp;IF(AND($H$10&lt;&gt;"",$Q$209&lt;=$H$10),"■ LOCKED – reconciled, no entry allowed","▷ OPEN for entry")&amp;"          RATE(S) APPLIED :  "&amp;$R$209)</f>
        <v/>
      </c>
      <c r="O209" s="25">
        <f>'Engine'!$E$17</f>
        <v/>
      </c>
      <c r="P209" s="25">
        <f>'Engine'!$E$17</f>
        <v/>
      </c>
      <c r="Q209" s="25">
        <f>'Engine'!$F$17</f>
        <v/>
      </c>
      <c r="R209" s="26">
        <f>'Engine'!$G$17</f>
        <v/>
      </c>
    </row>
    <row r="210">
      <c r="A210" s="27" t="inlineStr">
        <is>
          <t>B/F</t>
        </is>
      </c>
      <c r="B210" s="28">
        <f>$P$209</f>
        <v/>
      </c>
      <c r="C210" s="29" t="n"/>
      <c r="D210" s="30">
        <f>"Balance carried forward from quarter 15 – interest capitalised"</f>
        <v/>
      </c>
      <c r="E210" s="31" t="n"/>
      <c r="F210" s="31" t="n"/>
      <c r="G210" s="32">
        <f>$S$210</f>
        <v/>
      </c>
      <c r="H210" s="33" t="n"/>
      <c r="I210" s="34">
        <f>$O$210-$O$208</f>
        <v/>
      </c>
      <c r="J210" s="35" t="n">
        <v>0</v>
      </c>
      <c r="K210" s="35" t="n">
        <v>0</v>
      </c>
      <c r="L210" s="36" t="n"/>
      <c r="M210" s="35">
        <f>IF($L$210="","",ROUND($S$210-$L$210,2))</f>
        <v/>
      </c>
      <c r="N210" s="37">
        <f>IF(AND($H$10&lt;&gt;"",$O$210&lt;=$H$10),"LOCKED","OPEN")</f>
        <v/>
      </c>
      <c r="O210" s="25">
        <f>$P$209</f>
        <v/>
      </c>
      <c r="S210" s="38">
        <f>$S$208</f>
        <v/>
      </c>
      <c r="T210" s="38" t="n">
        <v>0</v>
      </c>
    </row>
    <row r="211">
      <c r="A211" s="39">
        <f>IF($F211="","",COUNT($F$14:$F211))</f>
        <v/>
      </c>
      <c r="B211" s="8" t="n"/>
      <c r="C211" s="6" t="n"/>
      <c r="D211" s="6" t="n"/>
      <c r="E211" s="40" t="n"/>
      <c r="F211" s="36" t="n"/>
      <c r="G211" s="41">
        <f>IF($B211="","",$S211)</f>
        <v/>
      </c>
      <c r="H211" s="42">
        <f>IF($I211&lt;=0,"",('Engine'!$B$8*MAX(0,MIN($O211,'Engine'!$B$3)-MAX($O210,'Engine'!$B$2))+'Engine'!$B$9*MAX(0,MIN($O211,'Engine'!$B$5)-MAX($O210,'Engine'!$B$4))+'Engine'!$B$10*MAX(0,MIN($O211,'Engine'!$B$7)-MAX($O210,'Engine'!$B$6)))/100/$H$8/$I211*$H$8*100)</f>
        <v/>
      </c>
      <c r="I211" s="43">
        <f>$O211-$O210</f>
        <v/>
      </c>
      <c r="J211" s="41">
        <f>IF($I211&lt;=0,0,$S210*('Engine'!$B$8*MAX(0,MIN($O211,'Engine'!$B$3)-MAX($O210,'Engine'!$B$2))+'Engine'!$B$9*MAX(0,MIN($O211,'Engine'!$B$5)-MAX($O210,'Engine'!$B$4))+'Engine'!$B$10*MAX(0,MIN($O211,'Engine'!$B$7)-MAX($O210,'Engine'!$B$6)))/100/$H$8)</f>
        <v/>
      </c>
      <c r="K211" s="41">
        <f>IF($B211="","",$T211)</f>
        <v/>
      </c>
      <c r="L211" s="36" t="n"/>
      <c r="M211" s="41">
        <f>IF($L211="","",ROUND($S211-$L211,2))</f>
        <v/>
      </c>
      <c r="N211" s="44">
        <f>IF(AND($H$10&lt;&gt;"",$O211&lt;=$H$10),"LOCKED","OPEN")</f>
        <v/>
      </c>
      <c r="O211" s="25">
        <f>IF($B211="",$O210,$B211)</f>
        <v/>
      </c>
      <c r="S211" s="38">
        <f>$S210-IF($F211="",0,$F211)</f>
        <v/>
      </c>
      <c r="T211" s="38">
        <f>$T210+$J211</f>
        <v/>
      </c>
    </row>
    <row r="212">
      <c r="A212" s="39">
        <f>IF($F212="","",COUNT($F$14:$F212))</f>
        <v/>
      </c>
      <c r="B212" s="8" t="n"/>
      <c r="C212" s="6" t="n"/>
      <c r="D212" s="6" t="n"/>
      <c r="E212" s="40" t="n"/>
      <c r="F212" s="36" t="n"/>
      <c r="G212" s="41">
        <f>IF($B212="","",$S212)</f>
        <v/>
      </c>
      <c r="H212" s="42">
        <f>IF($I212&lt;=0,"",('Engine'!$B$8*MAX(0,MIN($O212,'Engine'!$B$3)-MAX($O211,'Engine'!$B$2))+'Engine'!$B$9*MAX(0,MIN($O212,'Engine'!$B$5)-MAX($O211,'Engine'!$B$4))+'Engine'!$B$10*MAX(0,MIN($O212,'Engine'!$B$7)-MAX($O211,'Engine'!$B$6)))/100/$H$8/$I212*$H$8*100)</f>
        <v/>
      </c>
      <c r="I212" s="43">
        <f>$O212-$O211</f>
        <v/>
      </c>
      <c r="J212" s="41">
        <f>IF($I212&lt;=0,0,$S211*('Engine'!$B$8*MAX(0,MIN($O212,'Engine'!$B$3)-MAX($O211,'Engine'!$B$2))+'Engine'!$B$9*MAX(0,MIN($O212,'Engine'!$B$5)-MAX($O211,'Engine'!$B$4))+'Engine'!$B$10*MAX(0,MIN($O212,'Engine'!$B$7)-MAX($O211,'Engine'!$B$6)))/100/$H$8)</f>
        <v/>
      </c>
      <c r="K212" s="41">
        <f>IF($B212="","",$T212)</f>
        <v/>
      </c>
      <c r="L212" s="36" t="n"/>
      <c r="M212" s="41">
        <f>IF($L212="","",ROUND($S212-$L212,2))</f>
        <v/>
      </c>
      <c r="N212" s="44">
        <f>IF(AND($H$10&lt;&gt;"",$O212&lt;=$H$10),"LOCKED","OPEN")</f>
        <v/>
      </c>
      <c r="O212" s="25">
        <f>IF($B212="",$O211,$B212)</f>
        <v/>
      </c>
      <c r="S212" s="38">
        <f>$S211-IF($F212="",0,$F212)</f>
        <v/>
      </c>
      <c r="T212" s="38">
        <f>$T211+$J212</f>
        <v/>
      </c>
    </row>
    <row r="213">
      <c r="A213" s="39">
        <f>IF($F213="","",COUNT($F$14:$F213))</f>
        <v/>
      </c>
      <c r="B213" s="8" t="n"/>
      <c r="C213" s="6" t="n"/>
      <c r="D213" s="6" t="n"/>
      <c r="E213" s="40" t="n"/>
      <c r="F213" s="36" t="n"/>
      <c r="G213" s="41">
        <f>IF($B213="","",$S213)</f>
        <v/>
      </c>
      <c r="H213" s="42">
        <f>IF($I213&lt;=0,"",('Engine'!$B$8*MAX(0,MIN($O213,'Engine'!$B$3)-MAX($O212,'Engine'!$B$2))+'Engine'!$B$9*MAX(0,MIN($O213,'Engine'!$B$5)-MAX($O212,'Engine'!$B$4))+'Engine'!$B$10*MAX(0,MIN($O213,'Engine'!$B$7)-MAX($O212,'Engine'!$B$6)))/100/$H$8/$I213*$H$8*100)</f>
        <v/>
      </c>
      <c r="I213" s="43">
        <f>$O213-$O212</f>
        <v/>
      </c>
      <c r="J213" s="41">
        <f>IF($I213&lt;=0,0,$S212*('Engine'!$B$8*MAX(0,MIN($O213,'Engine'!$B$3)-MAX($O212,'Engine'!$B$2))+'Engine'!$B$9*MAX(0,MIN($O213,'Engine'!$B$5)-MAX($O212,'Engine'!$B$4))+'Engine'!$B$10*MAX(0,MIN($O213,'Engine'!$B$7)-MAX($O212,'Engine'!$B$6)))/100/$H$8)</f>
        <v/>
      </c>
      <c r="K213" s="41">
        <f>IF($B213="","",$T213)</f>
        <v/>
      </c>
      <c r="L213" s="36" t="n"/>
      <c r="M213" s="41">
        <f>IF($L213="","",ROUND($S213-$L213,2))</f>
        <v/>
      </c>
      <c r="N213" s="44">
        <f>IF(AND($H$10&lt;&gt;"",$O213&lt;=$H$10),"LOCKED","OPEN")</f>
        <v/>
      </c>
      <c r="O213" s="25">
        <f>IF($B213="",$O212,$B213)</f>
        <v/>
      </c>
      <c r="S213" s="38">
        <f>$S212-IF($F213="",0,$F213)</f>
        <v/>
      </c>
      <c r="T213" s="38">
        <f>$T212+$J213</f>
        <v/>
      </c>
    </row>
    <row r="214">
      <c r="A214" s="39">
        <f>IF($F214="","",COUNT($F$14:$F214))</f>
        <v/>
      </c>
      <c r="B214" s="8" t="n"/>
      <c r="C214" s="6" t="n"/>
      <c r="D214" s="6" t="n"/>
      <c r="E214" s="40" t="n"/>
      <c r="F214" s="36" t="n"/>
      <c r="G214" s="41">
        <f>IF($B214="","",$S214)</f>
        <v/>
      </c>
      <c r="H214" s="42">
        <f>IF($I214&lt;=0,"",('Engine'!$B$8*MAX(0,MIN($O214,'Engine'!$B$3)-MAX($O213,'Engine'!$B$2))+'Engine'!$B$9*MAX(0,MIN($O214,'Engine'!$B$5)-MAX($O213,'Engine'!$B$4))+'Engine'!$B$10*MAX(0,MIN($O214,'Engine'!$B$7)-MAX($O213,'Engine'!$B$6)))/100/$H$8/$I214*$H$8*100)</f>
        <v/>
      </c>
      <c r="I214" s="43">
        <f>$O214-$O213</f>
        <v/>
      </c>
      <c r="J214" s="41">
        <f>IF($I214&lt;=0,0,$S213*('Engine'!$B$8*MAX(0,MIN($O214,'Engine'!$B$3)-MAX($O213,'Engine'!$B$2))+'Engine'!$B$9*MAX(0,MIN($O214,'Engine'!$B$5)-MAX($O213,'Engine'!$B$4))+'Engine'!$B$10*MAX(0,MIN($O214,'Engine'!$B$7)-MAX($O213,'Engine'!$B$6)))/100/$H$8)</f>
        <v/>
      </c>
      <c r="K214" s="41">
        <f>IF($B214="","",$T214)</f>
        <v/>
      </c>
      <c r="L214" s="36" t="n"/>
      <c r="M214" s="41">
        <f>IF($L214="","",ROUND($S214-$L214,2))</f>
        <v/>
      </c>
      <c r="N214" s="44">
        <f>IF(AND($H$10&lt;&gt;"",$O214&lt;=$H$10),"LOCKED","OPEN")</f>
        <v/>
      </c>
      <c r="O214" s="25">
        <f>IF($B214="",$O213,$B214)</f>
        <v/>
      </c>
      <c r="S214" s="38">
        <f>$S213-IF($F214="",0,$F214)</f>
        <v/>
      </c>
      <c r="T214" s="38">
        <f>$T213+$J214</f>
        <v/>
      </c>
    </row>
    <row r="215">
      <c r="A215" s="39">
        <f>IF($F215="","",COUNT($F$14:$F215))</f>
        <v/>
      </c>
      <c r="B215" s="8" t="n"/>
      <c r="C215" s="6" t="n"/>
      <c r="D215" s="6" t="n"/>
      <c r="E215" s="40" t="n"/>
      <c r="F215" s="36" t="n"/>
      <c r="G215" s="41">
        <f>IF($B215="","",$S215)</f>
        <v/>
      </c>
      <c r="H215" s="42">
        <f>IF($I215&lt;=0,"",('Engine'!$B$8*MAX(0,MIN($O215,'Engine'!$B$3)-MAX($O214,'Engine'!$B$2))+'Engine'!$B$9*MAX(0,MIN($O215,'Engine'!$B$5)-MAX($O214,'Engine'!$B$4))+'Engine'!$B$10*MAX(0,MIN($O215,'Engine'!$B$7)-MAX($O214,'Engine'!$B$6)))/100/$H$8/$I215*$H$8*100)</f>
        <v/>
      </c>
      <c r="I215" s="43">
        <f>$O215-$O214</f>
        <v/>
      </c>
      <c r="J215" s="41">
        <f>IF($I215&lt;=0,0,$S214*('Engine'!$B$8*MAX(0,MIN($O215,'Engine'!$B$3)-MAX($O214,'Engine'!$B$2))+'Engine'!$B$9*MAX(0,MIN($O215,'Engine'!$B$5)-MAX($O214,'Engine'!$B$4))+'Engine'!$B$10*MAX(0,MIN($O215,'Engine'!$B$7)-MAX($O214,'Engine'!$B$6)))/100/$H$8)</f>
        <v/>
      </c>
      <c r="K215" s="41">
        <f>IF($B215="","",$T215)</f>
        <v/>
      </c>
      <c r="L215" s="36" t="n"/>
      <c r="M215" s="41">
        <f>IF($L215="","",ROUND($S215-$L215,2))</f>
        <v/>
      </c>
      <c r="N215" s="44">
        <f>IF(AND($H$10&lt;&gt;"",$O215&lt;=$H$10),"LOCKED","OPEN")</f>
        <v/>
      </c>
      <c r="O215" s="25">
        <f>IF($B215="",$O214,$B215)</f>
        <v/>
      </c>
      <c r="S215" s="38">
        <f>$S214-IF($F215="",0,$F215)</f>
        <v/>
      </c>
      <c r="T215" s="38">
        <f>$T214+$J215</f>
        <v/>
      </c>
    </row>
    <row r="216">
      <c r="A216" s="39">
        <f>IF($F216="","",COUNT($F$14:$F216))</f>
        <v/>
      </c>
      <c r="B216" s="8" t="n"/>
      <c r="C216" s="6" t="n"/>
      <c r="D216" s="6" t="n"/>
      <c r="E216" s="40" t="n"/>
      <c r="F216" s="36" t="n"/>
      <c r="G216" s="41">
        <f>IF($B216="","",$S216)</f>
        <v/>
      </c>
      <c r="H216" s="42">
        <f>IF($I216&lt;=0,"",('Engine'!$B$8*MAX(0,MIN($O216,'Engine'!$B$3)-MAX($O215,'Engine'!$B$2))+'Engine'!$B$9*MAX(0,MIN($O216,'Engine'!$B$5)-MAX($O215,'Engine'!$B$4))+'Engine'!$B$10*MAX(0,MIN($O216,'Engine'!$B$7)-MAX($O215,'Engine'!$B$6)))/100/$H$8/$I216*$H$8*100)</f>
        <v/>
      </c>
      <c r="I216" s="43">
        <f>$O216-$O215</f>
        <v/>
      </c>
      <c r="J216" s="41">
        <f>IF($I216&lt;=0,0,$S215*('Engine'!$B$8*MAX(0,MIN($O216,'Engine'!$B$3)-MAX($O215,'Engine'!$B$2))+'Engine'!$B$9*MAX(0,MIN($O216,'Engine'!$B$5)-MAX($O215,'Engine'!$B$4))+'Engine'!$B$10*MAX(0,MIN($O216,'Engine'!$B$7)-MAX($O215,'Engine'!$B$6)))/100/$H$8)</f>
        <v/>
      </c>
      <c r="K216" s="41">
        <f>IF($B216="","",$T216)</f>
        <v/>
      </c>
      <c r="L216" s="36" t="n"/>
      <c r="M216" s="41">
        <f>IF($L216="","",ROUND($S216-$L216,2))</f>
        <v/>
      </c>
      <c r="N216" s="44">
        <f>IF(AND($H$10&lt;&gt;"",$O216&lt;=$H$10),"LOCKED","OPEN")</f>
        <v/>
      </c>
      <c r="O216" s="25">
        <f>IF($B216="",$O215,$B216)</f>
        <v/>
      </c>
      <c r="S216" s="38">
        <f>$S215-IF($F216="",0,$F216)</f>
        <v/>
      </c>
      <c r="T216" s="38">
        <f>$T215+$J216</f>
        <v/>
      </c>
    </row>
    <row r="217">
      <c r="A217" s="39">
        <f>IF($F217="","",COUNT($F$14:$F217))</f>
        <v/>
      </c>
      <c r="B217" s="8" t="n"/>
      <c r="C217" s="6" t="n"/>
      <c r="D217" s="6" t="n"/>
      <c r="E217" s="40" t="n"/>
      <c r="F217" s="36" t="n"/>
      <c r="G217" s="41">
        <f>IF($B217="","",$S217)</f>
        <v/>
      </c>
      <c r="H217" s="42">
        <f>IF($I217&lt;=0,"",('Engine'!$B$8*MAX(0,MIN($O217,'Engine'!$B$3)-MAX($O216,'Engine'!$B$2))+'Engine'!$B$9*MAX(0,MIN($O217,'Engine'!$B$5)-MAX($O216,'Engine'!$B$4))+'Engine'!$B$10*MAX(0,MIN($O217,'Engine'!$B$7)-MAX($O216,'Engine'!$B$6)))/100/$H$8/$I217*$H$8*100)</f>
        <v/>
      </c>
      <c r="I217" s="43">
        <f>$O217-$O216</f>
        <v/>
      </c>
      <c r="J217" s="41">
        <f>IF($I217&lt;=0,0,$S216*('Engine'!$B$8*MAX(0,MIN($O217,'Engine'!$B$3)-MAX($O216,'Engine'!$B$2))+'Engine'!$B$9*MAX(0,MIN($O217,'Engine'!$B$5)-MAX($O216,'Engine'!$B$4))+'Engine'!$B$10*MAX(0,MIN($O217,'Engine'!$B$7)-MAX($O216,'Engine'!$B$6)))/100/$H$8)</f>
        <v/>
      </c>
      <c r="K217" s="41">
        <f>IF($B217="","",$T217)</f>
        <v/>
      </c>
      <c r="L217" s="36" t="n"/>
      <c r="M217" s="41">
        <f>IF($L217="","",ROUND($S217-$L217,2))</f>
        <v/>
      </c>
      <c r="N217" s="44">
        <f>IF(AND($H$10&lt;&gt;"",$O217&lt;=$H$10),"LOCKED","OPEN")</f>
        <v/>
      </c>
      <c r="O217" s="25">
        <f>IF($B217="",$O216,$B217)</f>
        <v/>
      </c>
      <c r="S217" s="38">
        <f>$S216-IF($F217="",0,$F217)</f>
        <v/>
      </c>
      <c r="T217" s="38">
        <f>$T216+$J217</f>
        <v/>
      </c>
    </row>
    <row r="218">
      <c r="A218" s="39">
        <f>IF($F218="","",COUNT($F$14:$F218))</f>
        <v/>
      </c>
      <c r="B218" s="8" t="n"/>
      <c r="C218" s="6" t="n"/>
      <c r="D218" s="6" t="n"/>
      <c r="E218" s="40" t="n"/>
      <c r="F218" s="36" t="n"/>
      <c r="G218" s="41">
        <f>IF($B218="","",$S218)</f>
        <v/>
      </c>
      <c r="H218" s="42">
        <f>IF($I218&lt;=0,"",('Engine'!$B$8*MAX(0,MIN($O218,'Engine'!$B$3)-MAX($O217,'Engine'!$B$2))+'Engine'!$B$9*MAX(0,MIN($O218,'Engine'!$B$5)-MAX($O217,'Engine'!$B$4))+'Engine'!$B$10*MAX(0,MIN($O218,'Engine'!$B$7)-MAX($O217,'Engine'!$B$6)))/100/$H$8/$I218*$H$8*100)</f>
        <v/>
      </c>
      <c r="I218" s="43">
        <f>$O218-$O217</f>
        <v/>
      </c>
      <c r="J218" s="41">
        <f>IF($I218&lt;=0,0,$S217*('Engine'!$B$8*MAX(0,MIN($O218,'Engine'!$B$3)-MAX($O217,'Engine'!$B$2))+'Engine'!$B$9*MAX(0,MIN($O218,'Engine'!$B$5)-MAX($O217,'Engine'!$B$4))+'Engine'!$B$10*MAX(0,MIN($O218,'Engine'!$B$7)-MAX($O217,'Engine'!$B$6)))/100/$H$8)</f>
        <v/>
      </c>
      <c r="K218" s="41">
        <f>IF($B218="","",$T218)</f>
        <v/>
      </c>
      <c r="L218" s="36" t="n"/>
      <c r="M218" s="41">
        <f>IF($L218="","",ROUND($S218-$L218,2))</f>
        <v/>
      </c>
      <c r="N218" s="44">
        <f>IF(AND($H$10&lt;&gt;"",$O218&lt;=$H$10),"LOCKED","OPEN")</f>
        <v/>
      </c>
      <c r="O218" s="25">
        <f>IF($B218="",$O217,$B218)</f>
        <v/>
      </c>
      <c r="S218" s="38">
        <f>$S217-IF($F218="",0,$F218)</f>
        <v/>
      </c>
      <c r="T218" s="38">
        <f>$T217+$J218</f>
        <v/>
      </c>
    </row>
    <row r="219">
      <c r="A219" s="39">
        <f>IF($F219="","",COUNT($F$14:$F219))</f>
        <v/>
      </c>
      <c r="B219" s="8" t="n"/>
      <c r="C219" s="6" t="n"/>
      <c r="D219" s="6" t="n"/>
      <c r="E219" s="40" t="n"/>
      <c r="F219" s="36" t="n"/>
      <c r="G219" s="41">
        <f>IF($B219="","",$S219)</f>
        <v/>
      </c>
      <c r="H219" s="42">
        <f>IF($I219&lt;=0,"",('Engine'!$B$8*MAX(0,MIN($O219,'Engine'!$B$3)-MAX($O218,'Engine'!$B$2))+'Engine'!$B$9*MAX(0,MIN($O219,'Engine'!$B$5)-MAX($O218,'Engine'!$B$4))+'Engine'!$B$10*MAX(0,MIN($O219,'Engine'!$B$7)-MAX($O218,'Engine'!$B$6)))/100/$H$8/$I219*$H$8*100)</f>
        <v/>
      </c>
      <c r="I219" s="43">
        <f>$O219-$O218</f>
        <v/>
      </c>
      <c r="J219" s="41">
        <f>IF($I219&lt;=0,0,$S218*('Engine'!$B$8*MAX(0,MIN($O219,'Engine'!$B$3)-MAX($O218,'Engine'!$B$2))+'Engine'!$B$9*MAX(0,MIN($O219,'Engine'!$B$5)-MAX($O218,'Engine'!$B$4))+'Engine'!$B$10*MAX(0,MIN($O219,'Engine'!$B$7)-MAX($O218,'Engine'!$B$6)))/100/$H$8)</f>
        <v/>
      </c>
      <c r="K219" s="41">
        <f>IF($B219="","",$T219)</f>
        <v/>
      </c>
      <c r="L219" s="36" t="n"/>
      <c r="M219" s="41">
        <f>IF($L219="","",ROUND($S219-$L219,2))</f>
        <v/>
      </c>
      <c r="N219" s="44">
        <f>IF(AND($H$10&lt;&gt;"",$O219&lt;=$H$10),"LOCKED","OPEN")</f>
        <v/>
      </c>
      <c r="O219" s="25">
        <f>IF($B219="",$O218,$B219)</f>
        <v/>
      </c>
      <c r="S219" s="38">
        <f>$S218-IF($F219="",0,$F219)</f>
        <v/>
      </c>
      <c r="T219" s="38">
        <f>$T218+$J219</f>
        <v/>
      </c>
    </row>
    <row r="220">
      <c r="A220" s="39">
        <f>IF($F220="","",COUNT($F$14:$F220))</f>
        <v/>
      </c>
      <c r="B220" s="8" t="n"/>
      <c r="C220" s="6" t="n"/>
      <c r="D220" s="6" t="n"/>
      <c r="E220" s="40" t="n"/>
      <c r="F220" s="36" t="n"/>
      <c r="G220" s="41">
        <f>IF($B220="","",$S220)</f>
        <v/>
      </c>
      <c r="H220" s="42">
        <f>IF($I220&lt;=0,"",('Engine'!$B$8*MAX(0,MIN($O220,'Engine'!$B$3)-MAX($O219,'Engine'!$B$2))+'Engine'!$B$9*MAX(0,MIN($O220,'Engine'!$B$5)-MAX($O219,'Engine'!$B$4))+'Engine'!$B$10*MAX(0,MIN($O220,'Engine'!$B$7)-MAX($O219,'Engine'!$B$6)))/100/$H$8/$I220*$H$8*100)</f>
        <v/>
      </c>
      <c r="I220" s="43">
        <f>$O220-$O219</f>
        <v/>
      </c>
      <c r="J220" s="41">
        <f>IF($I220&lt;=0,0,$S219*('Engine'!$B$8*MAX(0,MIN($O220,'Engine'!$B$3)-MAX($O219,'Engine'!$B$2))+'Engine'!$B$9*MAX(0,MIN($O220,'Engine'!$B$5)-MAX($O219,'Engine'!$B$4))+'Engine'!$B$10*MAX(0,MIN($O220,'Engine'!$B$7)-MAX($O219,'Engine'!$B$6)))/100/$H$8)</f>
        <v/>
      </c>
      <c r="K220" s="41">
        <f>IF($B220="","",$T220)</f>
        <v/>
      </c>
      <c r="L220" s="36" t="n"/>
      <c r="M220" s="41">
        <f>IF($L220="","",ROUND($S220-$L220,2))</f>
        <v/>
      </c>
      <c r="N220" s="44">
        <f>IF(AND($H$10&lt;&gt;"",$O220&lt;=$H$10),"LOCKED","OPEN")</f>
        <v/>
      </c>
      <c r="O220" s="25">
        <f>IF($B220="",$O219,$B220)</f>
        <v/>
      </c>
      <c r="S220" s="38">
        <f>$S219-IF($F220="",0,$F220)</f>
        <v/>
      </c>
      <c r="T220" s="38">
        <f>$T219+$J220</f>
        <v/>
      </c>
    </row>
    <row r="221">
      <c r="A221" s="45" t="inlineStr">
        <is>
          <t>INT</t>
        </is>
      </c>
      <c r="B221" s="46">
        <f>$Q$209</f>
        <v/>
      </c>
      <c r="C221" s="47" t="n"/>
      <c r="D221" s="48">
        <f>"Interest for the quarter debited &amp; capitalised   ·   rate(s) applied :  "&amp;$R$209</f>
        <v/>
      </c>
      <c r="E221" s="49">
        <f>ROUND($T220+$J221,2)</f>
        <v/>
      </c>
      <c r="F221" s="50" t="n"/>
      <c r="G221" s="49">
        <f>$S221</f>
        <v/>
      </c>
      <c r="H221" s="51">
        <f>IF($I221&lt;=0,"",('Engine'!$B$8*MAX(0,MIN($O221,'Engine'!$B$3)-MAX($O220,'Engine'!$B$2))+'Engine'!$B$9*MAX(0,MIN($O221,'Engine'!$B$5)-MAX($O220,'Engine'!$B$4))+'Engine'!$B$10*MAX(0,MIN($O221,'Engine'!$B$7)-MAX($O220,'Engine'!$B$6)))/100/$H$8/$I221*$H$8*100)</f>
        <v/>
      </c>
      <c r="I221" s="52">
        <f>$O221-$O220</f>
        <v/>
      </c>
      <c r="J221" s="53">
        <f>IF($I221&lt;=0,0,$S220*('Engine'!$B$8*MAX(0,MIN($O221,'Engine'!$B$3)-MAX($O220,'Engine'!$B$2))+'Engine'!$B$9*MAX(0,MIN($O221,'Engine'!$B$5)-MAX($O220,'Engine'!$B$4))+'Engine'!$B$10*MAX(0,MIN($O221,'Engine'!$B$7)-MAX($O220,'Engine'!$B$6)))/100/$H$8)</f>
        <v/>
      </c>
      <c r="K221" s="53" t="n">
        <v>0</v>
      </c>
      <c r="L221" s="36" t="n"/>
      <c r="M221" s="53">
        <f>IF($L221="","",ROUND($S221-$L221,2))</f>
        <v/>
      </c>
      <c r="N221" s="54">
        <f>IF(AND($H$10&lt;&gt;"",$O221&lt;=$H$10),"LOCKED","OPEN")</f>
        <v/>
      </c>
      <c r="O221" s="25">
        <f>$Q$209</f>
        <v/>
      </c>
      <c r="S221" s="38">
        <f>$S220+$E221</f>
        <v/>
      </c>
      <c r="T221" s="38" t="n">
        <v>0</v>
      </c>
    </row>
    <row r="222" ht="18" customHeight="1">
      <c r="A222" s="24">
        <f>IF($P$222=0,"QUARTER 17          –  enter the Balance B/F date above to activate this quarter  –","QUARTER 17          "&amp;TEXT($P$222,"DD-MM-YYYY")&amp;"   to   "&amp;TEXT($Q$222,"DD-MM-YYYY")&amp;"          "&amp;IF(AND($H$10&lt;&gt;"",$Q$222&lt;=$H$10),"■ LOCKED – reconciled, no entry allowed","▷ OPEN for entry")&amp;"          RATE(S) APPLIED :  "&amp;$R$222)</f>
        <v/>
      </c>
      <c r="O222" s="25">
        <f>'Engine'!$E$18</f>
        <v/>
      </c>
      <c r="P222" s="25">
        <f>'Engine'!$E$18</f>
        <v/>
      </c>
      <c r="Q222" s="25">
        <f>'Engine'!$F$18</f>
        <v/>
      </c>
      <c r="R222" s="26">
        <f>'Engine'!$G$18</f>
        <v/>
      </c>
    </row>
    <row r="223">
      <c r="A223" s="27" t="inlineStr">
        <is>
          <t>B/F</t>
        </is>
      </c>
      <c r="B223" s="28">
        <f>$P$222</f>
        <v/>
      </c>
      <c r="C223" s="29" t="n"/>
      <c r="D223" s="30">
        <f>"Balance carried forward from quarter 16 – interest capitalised"</f>
        <v/>
      </c>
      <c r="E223" s="31" t="n"/>
      <c r="F223" s="31" t="n"/>
      <c r="G223" s="32">
        <f>$S$223</f>
        <v/>
      </c>
      <c r="H223" s="33" t="n"/>
      <c r="I223" s="34">
        <f>$O$223-$O$221</f>
        <v/>
      </c>
      <c r="J223" s="35" t="n">
        <v>0</v>
      </c>
      <c r="K223" s="35" t="n">
        <v>0</v>
      </c>
      <c r="L223" s="36" t="n"/>
      <c r="M223" s="35">
        <f>IF($L$223="","",ROUND($S$223-$L$223,2))</f>
        <v/>
      </c>
      <c r="N223" s="37">
        <f>IF(AND($H$10&lt;&gt;"",$O$223&lt;=$H$10),"LOCKED","OPEN")</f>
        <v/>
      </c>
      <c r="O223" s="25">
        <f>$P$222</f>
        <v/>
      </c>
      <c r="S223" s="38">
        <f>$S$221</f>
        <v/>
      </c>
      <c r="T223" s="38" t="n">
        <v>0</v>
      </c>
    </row>
    <row r="224">
      <c r="A224" s="39">
        <f>IF($F224="","",COUNT($F$14:$F224))</f>
        <v/>
      </c>
      <c r="B224" s="8" t="n"/>
      <c r="C224" s="6" t="n"/>
      <c r="D224" s="6" t="n"/>
      <c r="E224" s="40" t="n"/>
      <c r="F224" s="36" t="n"/>
      <c r="G224" s="41">
        <f>IF($B224="","",$S224)</f>
        <v/>
      </c>
      <c r="H224" s="42">
        <f>IF($I224&lt;=0,"",('Engine'!$B$8*MAX(0,MIN($O224,'Engine'!$B$3)-MAX($O223,'Engine'!$B$2))+'Engine'!$B$9*MAX(0,MIN($O224,'Engine'!$B$5)-MAX($O223,'Engine'!$B$4))+'Engine'!$B$10*MAX(0,MIN($O224,'Engine'!$B$7)-MAX($O223,'Engine'!$B$6)))/100/$H$8/$I224*$H$8*100)</f>
        <v/>
      </c>
      <c r="I224" s="43">
        <f>$O224-$O223</f>
        <v/>
      </c>
      <c r="J224" s="41">
        <f>IF($I224&lt;=0,0,$S223*('Engine'!$B$8*MAX(0,MIN($O224,'Engine'!$B$3)-MAX($O223,'Engine'!$B$2))+'Engine'!$B$9*MAX(0,MIN($O224,'Engine'!$B$5)-MAX($O223,'Engine'!$B$4))+'Engine'!$B$10*MAX(0,MIN($O224,'Engine'!$B$7)-MAX($O223,'Engine'!$B$6)))/100/$H$8)</f>
        <v/>
      </c>
      <c r="K224" s="41">
        <f>IF($B224="","",$T224)</f>
        <v/>
      </c>
      <c r="L224" s="36" t="n"/>
      <c r="M224" s="41">
        <f>IF($L224="","",ROUND($S224-$L224,2))</f>
        <v/>
      </c>
      <c r="N224" s="44">
        <f>IF(AND($H$10&lt;&gt;"",$O224&lt;=$H$10),"LOCKED","OPEN")</f>
        <v/>
      </c>
      <c r="O224" s="25">
        <f>IF($B224="",$O223,$B224)</f>
        <v/>
      </c>
      <c r="S224" s="38">
        <f>$S223-IF($F224="",0,$F224)</f>
        <v/>
      </c>
      <c r="T224" s="38">
        <f>$T223+$J224</f>
        <v/>
      </c>
    </row>
    <row r="225">
      <c r="A225" s="39">
        <f>IF($F225="","",COUNT($F$14:$F225))</f>
        <v/>
      </c>
      <c r="B225" s="8" t="n"/>
      <c r="C225" s="6" t="n"/>
      <c r="D225" s="6" t="n"/>
      <c r="E225" s="40" t="n"/>
      <c r="F225" s="36" t="n"/>
      <c r="G225" s="41">
        <f>IF($B225="","",$S225)</f>
        <v/>
      </c>
      <c r="H225" s="42">
        <f>IF($I225&lt;=0,"",('Engine'!$B$8*MAX(0,MIN($O225,'Engine'!$B$3)-MAX($O224,'Engine'!$B$2))+'Engine'!$B$9*MAX(0,MIN($O225,'Engine'!$B$5)-MAX($O224,'Engine'!$B$4))+'Engine'!$B$10*MAX(0,MIN($O225,'Engine'!$B$7)-MAX($O224,'Engine'!$B$6)))/100/$H$8/$I225*$H$8*100)</f>
        <v/>
      </c>
      <c r="I225" s="43">
        <f>$O225-$O224</f>
        <v/>
      </c>
      <c r="J225" s="41">
        <f>IF($I225&lt;=0,0,$S224*('Engine'!$B$8*MAX(0,MIN($O225,'Engine'!$B$3)-MAX($O224,'Engine'!$B$2))+'Engine'!$B$9*MAX(0,MIN($O225,'Engine'!$B$5)-MAX($O224,'Engine'!$B$4))+'Engine'!$B$10*MAX(0,MIN($O225,'Engine'!$B$7)-MAX($O224,'Engine'!$B$6)))/100/$H$8)</f>
        <v/>
      </c>
      <c r="K225" s="41">
        <f>IF($B225="","",$T225)</f>
        <v/>
      </c>
      <c r="L225" s="36" t="n"/>
      <c r="M225" s="41">
        <f>IF($L225="","",ROUND($S225-$L225,2))</f>
        <v/>
      </c>
      <c r="N225" s="44">
        <f>IF(AND($H$10&lt;&gt;"",$O225&lt;=$H$10),"LOCKED","OPEN")</f>
        <v/>
      </c>
      <c r="O225" s="25">
        <f>IF($B225="",$O224,$B225)</f>
        <v/>
      </c>
      <c r="S225" s="38">
        <f>$S224-IF($F225="",0,$F225)</f>
        <v/>
      </c>
      <c r="T225" s="38">
        <f>$T224+$J225</f>
        <v/>
      </c>
    </row>
    <row r="226">
      <c r="A226" s="39">
        <f>IF($F226="","",COUNT($F$14:$F226))</f>
        <v/>
      </c>
      <c r="B226" s="8" t="n"/>
      <c r="C226" s="6" t="n"/>
      <c r="D226" s="6" t="n"/>
      <c r="E226" s="40" t="n"/>
      <c r="F226" s="36" t="n"/>
      <c r="G226" s="41">
        <f>IF($B226="","",$S226)</f>
        <v/>
      </c>
      <c r="H226" s="42">
        <f>IF($I226&lt;=0,"",('Engine'!$B$8*MAX(0,MIN($O226,'Engine'!$B$3)-MAX($O225,'Engine'!$B$2))+'Engine'!$B$9*MAX(0,MIN($O226,'Engine'!$B$5)-MAX($O225,'Engine'!$B$4))+'Engine'!$B$10*MAX(0,MIN($O226,'Engine'!$B$7)-MAX($O225,'Engine'!$B$6)))/100/$H$8/$I226*$H$8*100)</f>
        <v/>
      </c>
      <c r="I226" s="43">
        <f>$O226-$O225</f>
        <v/>
      </c>
      <c r="J226" s="41">
        <f>IF($I226&lt;=0,0,$S225*('Engine'!$B$8*MAX(0,MIN($O226,'Engine'!$B$3)-MAX($O225,'Engine'!$B$2))+'Engine'!$B$9*MAX(0,MIN($O226,'Engine'!$B$5)-MAX($O225,'Engine'!$B$4))+'Engine'!$B$10*MAX(0,MIN($O226,'Engine'!$B$7)-MAX($O225,'Engine'!$B$6)))/100/$H$8)</f>
        <v/>
      </c>
      <c r="K226" s="41">
        <f>IF($B226="","",$T226)</f>
        <v/>
      </c>
      <c r="L226" s="36" t="n"/>
      <c r="M226" s="41">
        <f>IF($L226="","",ROUND($S226-$L226,2))</f>
        <v/>
      </c>
      <c r="N226" s="44">
        <f>IF(AND($H$10&lt;&gt;"",$O226&lt;=$H$10),"LOCKED","OPEN")</f>
        <v/>
      </c>
      <c r="O226" s="25">
        <f>IF($B226="",$O225,$B226)</f>
        <v/>
      </c>
      <c r="S226" s="38">
        <f>$S225-IF($F226="",0,$F226)</f>
        <v/>
      </c>
      <c r="T226" s="38">
        <f>$T225+$J226</f>
        <v/>
      </c>
    </row>
    <row r="227">
      <c r="A227" s="39">
        <f>IF($F227="","",COUNT($F$14:$F227))</f>
        <v/>
      </c>
      <c r="B227" s="8" t="n"/>
      <c r="C227" s="6" t="n"/>
      <c r="D227" s="6" t="n"/>
      <c r="E227" s="40" t="n"/>
      <c r="F227" s="36" t="n"/>
      <c r="G227" s="41">
        <f>IF($B227="","",$S227)</f>
        <v/>
      </c>
      <c r="H227" s="42">
        <f>IF($I227&lt;=0,"",('Engine'!$B$8*MAX(0,MIN($O227,'Engine'!$B$3)-MAX($O226,'Engine'!$B$2))+'Engine'!$B$9*MAX(0,MIN($O227,'Engine'!$B$5)-MAX($O226,'Engine'!$B$4))+'Engine'!$B$10*MAX(0,MIN($O227,'Engine'!$B$7)-MAX($O226,'Engine'!$B$6)))/100/$H$8/$I227*$H$8*100)</f>
        <v/>
      </c>
      <c r="I227" s="43">
        <f>$O227-$O226</f>
        <v/>
      </c>
      <c r="J227" s="41">
        <f>IF($I227&lt;=0,0,$S226*('Engine'!$B$8*MAX(0,MIN($O227,'Engine'!$B$3)-MAX($O226,'Engine'!$B$2))+'Engine'!$B$9*MAX(0,MIN($O227,'Engine'!$B$5)-MAX($O226,'Engine'!$B$4))+'Engine'!$B$10*MAX(0,MIN($O227,'Engine'!$B$7)-MAX($O226,'Engine'!$B$6)))/100/$H$8)</f>
        <v/>
      </c>
      <c r="K227" s="41">
        <f>IF($B227="","",$T227)</f>
        <v/>
      </c>
      <c r="L227" s="36" t="n"/>
      <c r="M227" s="41">
        <f>IF($L227="","",ROUND($S227-$L227,2))</f>
        <v/>
      </c>
      <c r="N227" s="44">
        <f>IF(AND($H$10&lt;&gt;"",$O227&lt;=$H$10),"LOCKED","OPEN")</f>
        <v/>
      </c>
      <c r="O227" s="25">
        <f>IF($B227="",$O226,$B227)</f>
        <v/>
      </c>
      <c r="S227" s="38">
        <f>$S226-IF($F227="",0,$F227)</f>
        <v/>
      </c>
      <c r="T227" s="38">
        <f>$T226+$J227</f>
        <v/>
      </c>
    </row>
    <row r="228">
      <c r="A228" s="39">
        <f>IF($F228="","",COUNT($F$14:$F228))</f>
        <v/>
      </c>
      <c r="B228" s="8" t="n"/>
      <c r="C228" s="6" t="n"/>
      <c r="D228" s="6" t="n"/>
      <c r="E228" s="40" t="n"/>
      <c r="F228" s="36" t="n"/>
      <c r="G228" s="41">
        <f>IF($B228="","",$S228)</f>
        <v/>
      </c>
      <c r="H228" s="42">
        <f>IF($I228&lt;=0,"",('Engine'!$B$8*MAX(0,MIN($O228,'Engine'!$B$3)-MAX($O227,'Engine'!$B$2))+'Engine'!$B$9*MAX(0,MIN($O228,'Engine'!$B$5)-MAX($O227,'Engine'!$B$4))+'Engine'!$B$10*MAX(0,MIN($O228,'Engine'!$B$7)-MAX($O227,'Engine'!$B$6)))/100/$H$8/$I228*$H$8*100)</f>
        <v/>
      </c>
      <c r="I228" s="43">
        <f>$O228-$O227</f>
        <v/>
      </c>
      <c r="J228" s="41">
        <f>IF($I228&lt;=0,0,$S227*('Engine'!$B$8*MAX(0,MIN($O228,'Engine'!$B$3)-MAX($O227,'Engine'!$B$2))+'Engine'!$B$9*MAX(0,MIN($O228,'Engine'!$B$5)-MAX($O227,'Engine'!$B$4))+'Engine'!$B$10*MAX(0,MIN($O228,'Engine'!$B$7)-MAX($O227,'Engine'!$B$6)))/100/$H$8)</f>
        <v/>
      </c>
      <c r="K228" s="41">
        <f>IF($B228="","",$T228)</f>
        <v/>
      </c>
      <c r="L228" s="36" t="n"/>
      <c r="M228" s="41">
        <f>IF($L228="","",ROUND($S228-$L228,2))</f>
        <v/>
      </c>
      <c r="N228" s="44">
        <f>IF(AND($H$10&lt;&gt;"",$O228&lt;=$H$10),"LOCKED","OPEN")</f>
        <v/>
      </c>
      <c r="O228" s="25">
        <f>IF($B228="",$O227,$B228)</f>
        <v/>
      </c>
      <c r="S228" s="38">
        <f>$S227-IF($F228="",0,$F228)</f>
        <v/>
      </c>
      <c r="T228" s="38">
        <f>$T227+$J228</f>
        <v/>
      </c>
    </row>
    <row r="229">
      <c r="A229" s="39">
        <f>IF($F229="","",COUNT($F$14:$F229))</f>
        <v/>
      </c>
      <c r="B229" s="8" t="n"/>
      <c r="C229" s="6" t="n"/>
      <c r="D229" s="6" t="n"/>
      <c r="E229" s="40" t="n"/>
      <c r="F229" s="36" t="n"/>
      <c r="G229" s="41">
        <f>IF($B229="","",$S229)</f>
        <v/>
      </c>
      <c r="H229" s="42">
        <f>IF($I229&lt;=0,"",('Engine'!$B$8*MAX(0,MIN($O229,'Engine'!$B$3)-MAX($O228,'Engine'!$B$2))+'Engine'!$B$9*MAX(0,MIN($O229,'Engine'!$B$5)-MAX($O228,'Engine'!$B$4))+'Engine'!$B$10*MAX(0,MIN($O229,'Engine'!$B$7)-MAX($O228,'Engine'!$B$6)))/100/$H$8/$I229*$H$8*100)</f>
        <v/>
      </c>
      <c r="I229" s="43">
        <f>$O229-$O228</f>
        <v/>
      </c>
      <c r="J229" s="41">
        <f>IF($I229&lt;=0,0,$S228*('Engine'!$B$8*MAX(0,MIN($O229,'Engine'!$B$3)-MAX($O228,'Engine'!$B$2))+'Engine'!$B$9*MAX(0,MIN($O229,'Engine'!$B$5)-MAX($O228,'Engine'!$B$4))+'Engine'!$B$10*MAX(0,MIN($O229,'Engine'!$B$7)-MAX($O228,'Engine'!$B$6)))/100/$H$8)</f>
        <v/>
      </c>
      <c r="K229" s="41">
        <f>IF($B229="","",$T229)</f>
        <v/>
      </c>
      <c r="L229" s="36" t="n"/>
      <c r="M229" s="41">
        <f>IF($L229="","",ROUND($S229-$L229,2))</f>
        <v/>
      </c>
      <c r="N229" s="44">
        <f>IF(AND($H$10&lt;&gt;"",$O229&lt;=$H$10),"LOCKED","OPEN")</f>
        <v/>
      </c>
      <c r="O229" s="25">
        <f>IF($B229="",$O228,$B229)</f>
        <v/>
      </c>
      <c r="S229" s="38">
        <f>$S228-IF($F229="",0,$F229)</f>
        <v/>
      </c>
      <c r="T229" s="38">
        <f>$T228+$J229</f>
        <v/>
      </c>
    </row>
    <row r="230">
      <c r="A230" s="39">
        <f>IF($F230="","",COUNT($F$14:$F230))</f>
        <v/>
      </c>
      <c r="B230" s="8" t="n"/>
      <c r="C230" s="6" t="n"/>
      <c r="D230" s="6" t="n"/>
      <c r="E230" s="40" t="n"/>
      <c r="F230" s="36" t="n"/>
      <c r="G230" s="41">
        <f>IF($B230="","",$S230)</f>
        <v/>
      </c>
      <c r="H230" s="42">
        <f>IF($I230&lt;=0,"",('Engine'!$B$8*MAX(0,MIN($O230,'Engine'!$B$3)-MAX($O229,'Engine'!$B$2))+'Engine'!$B$9*MAX(0,MIN($O230,'Engine'!$B$5)-MAX($O229,'Engine'!$B$4))+'Engine'!$B$10*MAX(0,MIN($O230,'Engine'!$B$7)-MAX($O229,'Engine'!$B$6)))/100/$H$8/$I230*$H$8*100)</f>
        <v/>
      </c>
      <c r="I230" s="43">
        <f>$O230-$O229</f>
        <v/>
      </c>
      <c r="J230" s="41">
        <f>IF($I230&lt;=0,0,$S229*('Engine'!$B$8*MAX(0,MIN($O230,'Engine'!$B$3)-MAX($O229,'Engine'!$B$2))+'Engine'!$B$9*MAX(0,MIN($O230,'Engine'!$B$5)-MAX($O229,'Engine'!$B$4))+'Engine'!$B$10*MAX(0,MIN($O230,'Engine'!$B$7)-MAX($O229,'Engine'!$B$6)))/100/$H$8)</f>
        <v/>
      </c>
      <c r="K230" s="41">
        <f>IF($B230="","",$T230)</f>
        <v/>
      </c>
      <c r="L230" s="36" t="n"/>
      <c r="M230" s="41">
        <f>IF($L230="","",ROUND($S230-$L230,2))</f>
        <v/>
      </c>
      <c r="N230" s="44">
        <f>IF(AND($H$10&lt;&gt;"",$O230&lt;=$H$10),"LOCKED","OPEN")</f>
        <v/>
      </c>
      <c r="O230" s="25">
        <f>IF($B230="",$O229,$B230)</f>
        <v/>
      </c>
      <c r="S230" s="38">
        <f>$S229-IF($F230="",0,$F230)</f>
        <v/>
      </c>
      <c r="T230" s="38">
        <f>$T229+$J230</f>
        <v/>
      </c>
    </row>
    <row r="231">
      <c r="A231" s="39">
        <f>IF($F231="","",COUNT($F$14:$F231))</f>
        <v/>
      </c>
      <c r="B231" s="8" t="n"/>
      <c r="C231" s="6" t="n"/>
      <c r="D231" s="6" t="n"/>
      <c r="E231" s="40" t="n"/>
      <c r="F231" s="36" t="n"/>
      <c r="G231" s="41">
        <f>IF($B231="","",$S231)</f>
        <v/>
      </c>
      <c r="H231" s="42">
        <f>IF($I231&lt;=0,"",('Engine'!$B$8*MAX(0,MIN($O231,'Engine'!$B$3)-MAX($O230,'Engine'!$B$2))+'Engine'!$B$9*MAX(0,MIN($O231,'Engine'!$B$5)-MAX($O230,'Engine'!$B$4))+'Engine'!$B$10*MAX(0,MIN($O231,'Engine'!$B$7)-MAX($O230,'Engine'!$B$6)))/100/$H$8/$I231*$H$8*100)</f>
        <v/>
      </c>
      <c r="I231" s="43">
        <f>$O231-$O230</f>
        <v/>
      </c>
      <c r="J231" s="41">
        <f>IF($I231&lt;=0,0,$S230*('Engine'!$B$8*MAX(0,MIN($O231,'Engine'!$B$3)-MAX($O230,'Engine'!$B$2))+'Engine'!$B$9*MAX(0,MIN($O231,'Engine'!$B$5)-MAX($O230,'Engine'!$B$4))+'Engine'!$B$10*MAX(0,MIN($O231,'Engine'!$B$7)-MAX($O230,'Engine'!$B$6)))/100/$H$8)</f>
        <v/>
      </c>
      <c r="K231" s="41">
        <f>IF($B231="","",$T231)</f>
        <v/>
      </c>
      <c r="L231" s="36" t="n"/>
      <c r="M231" s="41">
        <f>IF($L231="","",ROUND($S231-$L231,2))</f>
        <v/>
      </c>
      <c r="N231" s="44">
        <f>IF(AND($H$10&lt;&gt;"",$O231&lt;=$H$10),"LOCKED","OPEN")</f>
        <v/>
      </c>
      <c r="O231" s="25">
        <f>IF($B231="",$O230,$B231)</f>
        <v/>
      </c>
      <c r="S231" s="38">
        <f>$S230-IF($F231="",0,$F231)</f>
        <v/>
      </c>
      <c r="T231" s="38">
        <f>$T230+$J231</f>
        <v/>
      </c>
    </row>
    <row r="232">
      <c r="A232" s="39">
        <f>IF($F232="","",COUNT($F$14:$F232))</f>
        <v/>
      </c>
      <c r="B232" s="8" t="n"/>
      <c r="C232" s="6" t="n"/>
      <c r="D232" s="6" t="n"/>
      <c r="E232" s="40" t="n"/>
      <c r="F232" s="36" t="n"/>
      <c r="G232" s="41">
        <f>IF($B232="","",$S232)</f>
        <v/>
      </c>
      <c r="H232" s="42">
        <f>IF($I232&lt;=0,"",('Engine'!$B$8*MAX(0,MIN($O232,'Engine'!$B$3)-MAX($O231,'Engine'!$B$2))+'Engine'!$B$9*MAX(0,MIN($O232,'Engine'!$B$5)-MAX($O231,'Engine'!$B$4))+'Engine'!$B$10*MAX(0,MIN($O232,'Engine'!$B$7)-MAX($O231,'Engine'!$B$6)))/100/$H$8/$I232*$H$8*100)</f>
        <v/>
      </c>
      <c r="I232" s="43">
        <f>$O232-$O231</f>
        <v/>
      </c>
      <c r="J232" s="41">
        <f>IF($I232&lt;=0,0,$S231*('Engine'!$B$8*MAX(0,MIN($O232,'Engine'!$B$3)-MAX($O231,'Engine'!$B$2))+'Engine'!$B$9*MAX(0,MIN($O232,'Engine'!$B$5)-MAX($O231,'Engine'!$B$4))+'Engine'!$B$10*MAX(0,MIN($O232,'Engine'!$B$7)-MAX($O231,'Engine'!$B$6)))/100/$H$8)</f>
        <v/>
      </c>
      <c r="K232" s="41">
        <f>IF($B232="","",$T232)</f>
        <v/>
      </c>
      <c r="L232" s="36" t="n"/>
      <c r="M232" s="41">
        <f>IF($L232="","",ROUND($S232-$L232,2))</f>
        <v/>
      </c>
      <c r="N232" s="44">
        <f>IF(AND($H$10&lt;&gt;"",$O232&lt;=$H$10),"LOCKED","OPEN")</f>
        <v/>
      </c>
      <c r="O232" s="25">
        <f>IF($B232="",$O231,$B232)</f>
        <v/>
      </c>
      <c r="S232" s="38">
        <f>$S231-IF($F232="",0,$F232)</f>
        <v/>
      </c>
      <c r="T232" s="38">
        <f>$T231+$J232</f>
        <v/>
      </c>
    </row>
    <row r="233">
      <c r="A233" s="39">
        <f>IF($F233="","",COUNT($F$14:$F233))</f>
        <v/>
      </c>
      <c r="B233" s="8" t="n"/>
      <c r="C233" s="6" t="n"/>
      <c r="D233" s="6" t="n"/>
      <c r="E233" s="40" t="n"/>
      <c r="F233" s="36" t="n"/>
      <c r="G233" s="41">
        <f>IF($B233="","",$S233)</f>
        <v/>
      </c>
      <c r="H233" s="42">
        <f>IF($I233&lt;=0,"",('Engine'!$B$8*MAX(0,MIN($O233,'Engine'!$B$3)-MAX($O232,'Engine'!$B$2))+'Engine'!$B$9*MAX(0,MIN($O233,'Engine'!$B$5)-MAX($O232,'Engine'!$B$4))+'Engine'!$B$10*MAX(0,MIN($O233,'Engine'!$B$7)-MAX($O232,'Engine'!$B$6)))/100/$H$8/$I233*$H$8*100)</f>
        <v/>
      </c>
      <c r="I233" s="43">
        <f>$O233-$O232</f>
        <v/>
      </c>
      <c r="J233" s="41">
        <f>IF($I233&lt;=0,0,$S232*('Engine'!$B$8*MAX(0,MIN($O233,'Engine'!$B$3)-MAX($O232,'Engine'!$B$2))+'Engine'!$B$9*MAX(0,MIN($O233,'Engine'!$B$5)-MAX($O232,'Engine'!$B$4))+'Engine'!$B$10*MAX(0,MIN($O233,'Engine'!$B$7)-MAX($O232,'Engine'!$B$6)))/100/$H$8)</f>
        <v/>
      </c>
      <c r="K233" s="41">
        <f>IF($B233="","",$T233)</f>
        <v/>
      </c>
      <c r="L233" s="36" t="n"/>
      <c r="M233" s="41">
        <f>IF($L233="","",ROUND($S233-$L233,2))</f>
        <v/>
      </c>
      <c r="N233" s="44">
        <f>IF(AND($H$10&lt;&gt;"",$O233&lt;=$H$10),"LOCKED","OPEN")</f>
        <v/>
      </c>
      <c r="O233" s="25">
        <f>IF($B233="",$O232,$B233)</f>
        <v/>
      </c>
      <c r="S233" s="38">
        <f>$S232-IF($F233="",0,$F233)</f>
        <v/>
      </c>
      <c r="T233" s="38">
        <f>$T232+$J233</f>
        <v/>
      </c>
    </row>
    <row r="234">
      <c r="A234" s="45" t="inlineStr">
        <is>
          <t>INT</t>
        </is>
      </c>
      <c r="B234" s="46">
        <f>$Q$222</f>
        <v/>
      </c>
      <c r="C234" s="47" t="n"/>
      <c r="D234" s="48">
        <f>"Interest for the quarter debited &amp; capitalised   ·   rate(s) applied :  "&amp;$R$222</f>
        <v/>
      </c>
      <c r="E234" s="49">
        <f>ROUND($T233+$J234,2)</f>
        <v/>
      </c>
      <c r="F234" s="50" t="n"/>
      <c r="G234" s="49">
        <f>$S234</f>
        <v/>
      </c>
      <c r="H234" s="51">
        <f>IF($I234&lt;=0,"",('Engine'!$B$8*MAX(0,MIN($O234,'Engine'!$B$3)-MAX($O233,'Engine'!$B$2))+'Engine'!$B$9*MAX(0,MIN($O234,'Engine'!$B$5)-MAX($O233,'Engine'!$B$4))+'Engine'!$B$10*MAX(0,MIN($O234,'Engine'!$B$7)-MAX($O233,'Engine'!$B$6)))/100/$H$8/$I234*$H$8*100)</f>
        <v/>
      </c>
      <c r="I234" s="52">
        <f>$O234-$O233</f>
        <v/>
      </c>
      <c r="J234" s="53">
        <f>IF($I234&lt;=0,0,$S233*('Engine'!$B$8*MAX(0,MIN($O234,'Engine'!$B$3)-MAX($O233,'Engine'!$B$2))+'Engine'!$B$9*MAX(0,MIN($O234,'Engine'!$B$5)-MAX($O233,'Engine'!$B$4))+'Engine'!$B$10*MAX(0,MIN($O234,'Engine'!$B$7)-MAX($O233,'Engine'!$B$6)))/100/$H$8)</f>
        <v/>
      </c>
      <c r="K234" s="53" t="n">
        <v>0</v>
      </c>
      <c r="L234" s="36" t="n"/>
      <c r="M234" s="53">
        <f>IF($L234="","",ROUND($S234-$L234,2))</f>
        <v/>
      </c>
      <c r="N234" s="54">
        <f>IF(AND($H$10&lt;&gt;"",$O234&lt;=$H$10),"LOCKED","OPEN")</f>
        <v/>
      </c>
      <c r="O234" s="25">
        <f>$Q$222</f>
        <v/>
      </c>
      <c r="S234" s="38">
        <f>$S233+$E234</f>
        <v/>
      </c>
      <c r="T234" s="38" t="n">
        <v>0</v>
      </c>
    </row>
    <row r="235" ht="18" customHeight="1">
      <c r="A235" s="24">
        <f>IF($P$235=0,"QUARTER 18          –  enter the Balance B/F date above to activate this quarter  –","QUARTER 18          "&amp;TEXT($P$235,"DD-MM-YYYY")&amp;"   to   "&amp;TEXT($Q$235,"DD-MM-YYYY")&amp;"          "&amp;IF(AND($H$10&lt;&gt;"",$Q$235&lt;=$H$10),"■ LOCKED – reconciled, no entry allowed","▷ OPEN for entry")&amp;"          RATE(S) APPLIED :  "&amp;$R$235)</f>
        <v/>
      </c>
      <c r="O235" s="25">
        <f>'Engine'!$E$19</f>
        <v/>
      </c>
      <c r="P235" s="25">
        <f>'Engine'!$E$19</f>
        <v/>
      </c>
      <c r="Q235" s="25">
        <f>'Engine'!$F$19</f>
        <v/>
      </c>
      <c r="R235" s="26">
        <f>'Engine'!$G$19</f>
        <v/>
      </c>
    </row>
    <row r="236">
      <c r="A236" s="27" t="inlineStr">
        <is>
          <t>B/F</t>
        </is>
      </c>
      <c r="B236" s="28">
        <f>$P$235</f>
        <v/>
      </c>
      <c r="C236" s="29" t="n"/>
      <c r="D236" s="30">
        <f>"Balance carried forward from quarter 17 – interest capitalised"</f>
        <v/>
      </c>
      <c r="E236" s="31" t="n"/>
      <c r="F236" s="31" t="n"/>
      <c r="G236" s="32">
        <f>$S$236</f>
        <v/>
      </c>
      <c r="H236" s="33" t="n"/>
      <c r="I236" s="34">
        <f>$O$236-$O$234</f>
        <v/>
      </c>
      <c r="J236" s="35" t="n">
        <v>0</v>
      </c>
      <c r="K236" s="35" t="n">
        <v>0</v>
      </c>
      <c r="L236" s="36" t="n"/>
      <c r="M236" s="35">
        <f>IF($L$236="","",ROUND($S$236-$L$236,2))</f>
        <v/>
      </c>
      <c r="N236" s="37">
        <f>IF(AND($H$10&lt;&gt;"",$O$236&lt;=$H$10),"LOCKED","OPEN")</f>
        <v/>
      </c>
      <c r="O236" s="25">
        <f>$P$235</f>
        <v/>
      </c>
      <c r="S236" s="38">
        <f>$S$234</f>
        <v/>
      </c>
      <c r="T236" s="38" t="n">
        <v>0</v>
      </c>
    </row>
    <row r="237">
      <c r="A237" s="39">
        <f>IF($F237="","",COUNT($F$14:$F237))</f>
        <v/>
      </c>
      <c r="B237" s="8" t="n"/>
      <c r="C237" s="6" t="n"/>
      <c r="D237" s="6" t="n"/>
      <c r="E237" s="40" t="n"/>
      <c r="F237" s="36" t="n"/>
      <c r="G237" s="41">
        <f>IF($B237="","",$S237)</f>
        <v/>
      </c>
      <c r="H237" s="42">
        <f>IF($I237&lt;=0,"",('Engine'!$B$8*MAX(0,MIN($O237,'Engine'!$B$3)-MAX($O236,'Engine'!$B$2))+'Engine'!$B$9*MAX(0,MIN($O237,'Engine'!$B$5)-MAX($O236,'Engine'!$B$4))+'Engine'!$B$10*MAX(0,MIN($O237,'Engine'!$B$7)-MAX($O236,'Engine'!$B$6)))/100/$H$8/$I237*$H$8*100)</f>
        <v/>
      </c>
      <c r="I237" s="43">
        <f>$O237-$O236</f>
        <v/>
      </c>
      <c r="J237" s="41">
        <f>IF($I237&lt;=0,0,$S236*('Engine'!$B$8*MAX(0,MIN($O237,'Engine'!$B$3)-MAX($O236,'Engine'!$B$2))+'Engine'!$B$9*MAX(0,MIN($O237,'Engine'!$B$5)-MAX($O236,'Engine'!$B$4))+'Engine'!$B$10*MAX(0,MIN($O237,'Engine'!$B$7)-MAX($O236,'Engine'!$B$6)))/100/$H$8)</f>
        <v/>
      </c>
      <c r="K237" s="41">
        <f>IF($B237="","",$T237)</f>
        <v/>
      </c>
      <c r="L237" s="36" t="n"/>
      <c r="M237" s="41">
        <f>IF($L237="","",ROUND($S237-$L237,2))</f>
        <v/>
      </c>
      <c r="N237" s="44">
        <f>IF(AND($H$10&lt;&gt;"",$O237&lt;=$H$10),"LOCKED","OPEN")</f>
        <v/>
      </c>
      <c r="O237" s="25">
        <f>IF($B237="",$O236,$B237)</f>
        <v/>
      </c>
      <c r="S237" s="38">
        <f>$S236-IF($F237="",0,$F237)</f>
        <v/>
      </c>
      <c r="T237" s="38">
        <f>$T236+$J237</f>
        <v/>
      </c>
    </row>
    <row r="238">
      <c r="A238" s="39">
        <f>IF($F238="","",COUNT($F$14:$F238))</f>
        <v/>
      </c>
      <c r="B238" s="8" t="n"/>
      <c r="C238" s="6" t="n"/>
      <c r="D238" s="6" t="n"/>
      <c r="E238" s="40" t="n"/>
      <c r="F238" s="36" t="n"/>
      <c r="G238" s="41">
        <f>IF($B238="","",$S238)</f>
        <v/>
      </c>
      <c r="H238" s="42">
        <f>IF($I238&lt;=0,"",('Engine'!$B$8*MAX(0,MIN($O238,'Engine'!$B$3)-MAX($O237,'Engine'!$B$2))+'Engine'!$B$9*MAX(0,MIN($O238,'Engine'!$B$5)-MAX($O237,'Engine'!$B$4))+'Engine'!$B$10*MAX(0,MIN($O238,'Engine'!$B$7)-MAX($O237,'Engine'!$B$6)))/100/$H$8/$I238*$H$8*100)</f>
        <v/>
      </c>
      <c r="I238" s="43">
        <f>$O238-$O237</f>
        <v/>
      </c>
      <c r="J238" s="41">
        <f>IF($I238&lt;=0,0,$S237*('Engine'!$B$8*MAX(0,MIN($O238,'Engine'!$B$3)-MAX($O237,'Engine'!$B$2))+'Engine'!$B$9*MAX(0,MIN($O238,'Engine'!$B$5)-MAX($O237,'Engine'!$B$4))+'Engine'!$B$10*MAX(0,MIN($O238,'Engine'!$B$7)-MAX($O237,'Engine'!$B$6)))/100/$H$8)</f>
        <v/>
      </c>
      <c r="K238" s="41">
        <f>IF($B238="","",$T238)</f>
        <v/>
      </c>
      <c r="L238" s="36" t="n"/>
      <c r="M238" s="41">
        <f>IF($L238="","",ROUND($S238-$L238,2))</f>
        <v/>
      </c>
      <c r="N238" s="44">
        <f>IF(AND($H$10&lt;&gt;"",$O238&lt;=$H$10),"LOCKED","OPEN")</f>
        <v/>
      </c>
      <c r="O238" s="25">
        <f>IF($B238="",$O237,$B238)</f>
        <v/>
      </c>
      <c r="S238" s="38">
        <f>$S237-IF($F238="",0,$F238)</f>
        <v/>
      </c>
      <c r="T238" s="38">
        <f>$T237+$J238</f>
        <v/>
      </c>
    </row>
    <row r="239">
      <c r="A239" s="39">
        <f>IF($F239="","",COUNT($F$14:$F239))</f>
        <v/>
      </c>
      <c r="B239" s="8" t="n"/>
      <c r="C239" s="6" t="n"/>
      <c r="D239" s="6" t="n"/>
      <c r="E239" s="40" t="n"/>
      <c r="F239" s="36" t="n"/>
      <c r="G239" s="41">
        <f>IF($B239="","",$S239)</f>
        <v/>
      </c>
      <c r="H239" s="42">
        <f>IF($I239&lt;=0,"",('Engine'!$B$8*MAX(0,MIN($O239,'Engine'!$B$3)-MAX($O238,'Engine'!$B$2))+'Engine'!$B$9*MAX(0,MIN($O239,'Engine'!$B$5)-MAX($O238,'Engine'!$B$4))+'Engine'!$B$10*MAX(0,MIN($O239,'Engine'!$B$7)-MAX($O238,'Engine'!$B$6)))/100/$H$8/$I239*$H$8*100)</f>
        <v/>
      </c>
      <c r="I239" s="43">
        <f>$O239-$O238</f>
        <v/>
      </c>
      <c r="J239" s="41">
        <f>IF($I239&lt;=0,0,$S238*('Engine'!$B$8*MAX(0,MIN($O239,'Engine'!$B$3)-MAX($O238,'Engine'!$B$2))+'Engine'!$B$9*MAX(0,MIN($O239,'Engine'!$B$5)-MAX($O238,'Engine'!$B$4))+'Engine'!$B$10*MAX(0,MIN($O239,'Engine'!$B$7)-MAX($O238,'Engine'!$B$6)))/100/$H$8)</f>
        <v/>
      </c>
      <c r="K239" s="41">
        <f>IF($B239="","",$T239)</f>
        <v/>
      </c>
      <c r="L239" s="36" t="n"/>
      <c r="M239" s="41">
        <f>IF($L239="","",ROUND($S239-$L239,2))</f>
        <v/>
      </c>
      <c r="N239" s="44">
        <f>IF(AND($H$10&lt;&gt;"",$O239&lt;=$H$10),"LOCKED","OPEN")</f>
        <v/>
      </c>
      <c r="O239" s="25">
        <f>IF($B239="",$O238,$B239)</f>
        <v/>
      </c>
      <c r="S239" s="38">
        <f>$S238-IF($F239="",0,$F239)</f>
        <v/>
      </c>
      <c r="T239" s="38">
        <f>$T238+$J239</f>
        <v/>
      </c>
    </row>
    <row r="240">
      <c r="A240" s="39">
        <f>IF($F240="","",COUNT($F$14:$F240))</f>
        <v/>
      </c>
      <c r="B240" s="8" t="n"/>
      <c r="C240" s="6" t="n"/>
      <c r="D240" s="6" t="n"/>
      <c r="E240" s="40" t="n"/>
      <c r="F240" s="36" t="n"/>
      <c r="G240" s="41">
        <f>IF($B240="","",$S240)</f>
        <v/>
      </c>
      <c r="H240" s="42">
        <f>IF($I240&lt;=0,"",('Engine'!$B$8*MAX(0,MIN($O240,'Engine'!$B$3)-MAX($O239,'Engine'!$B$2))+'Engine'!$B$9*MAX(0,MIN($O240,'Engine'!$B$5)-MAX($O239,'Engine'!$B$4))+'Engine'!$B$10*MAX(0,MIN($O240,'Engine'!$B$7)-MAX($O239,'Engine'!$B$6)))/100/$H$8/$I240*$H$8*100)</f>
        <v/>
      </c>
      <c r="I240" s="43">
        <f>$O240-$O239</f>
        <v/>
      </c>
      <c r="J240" s="41">
        <f>IF($I240&lt;=0,0,$S239*('Engine'!$B$8*MAX(0,MIN($O240,'Engine'!$B$3)-MAX($O239,'Engine'!$B$2))+'Engine'!$B$9*MAX(0,MIN($O240,'Engine'!$B$5)-MAX($O239,'Engine'!$B$4))+'Engine'!$B$10*MAX(0,MIN($O240,'Engine'!$B$7)-MAX($O239,'Engine'!$B$6)))/100/$H$8)</f>
        <v/>
      </c>
      <c r="K240" s="41">
        <f>IF($B240="","",$T240)</f>
        <v/>
      </c>
      <c r="L240" s="36" t="n"/>
      <c r="M240" s="41">
        <f>IF($L240="","",ROUND($S240-$L240,2))</f>
        <v/>
      </c>
      <c r="N240" s="44">
        <f>IF(AND($H$10&lt;&gt;"",$O240&lt;=$H$10),"LOCKED","OPEN")</f>
        <v/>
      </c>
      <c r="O240" s="25">
        <f>IF($B240="",$O239,$B240)</f>
        <v/>
      </c>
      <c r="S240" s="38">
        <f>$S239-IF($F240="",0,$F240)</f>
        <v/>
      </c>
      <c r="T240" s="38">
        <f>$T239+$J240</f>
        <v/>
      </c>
    </row>
    <row r="241">
      <c r="A241" s="39">
        <f>IF($F241="","",COUNT($F$14:$F241))</f>
        <v/>
      </c>
      <c r="B241" s="8" t="n"/>
      <c r="C241" s="6" t="n"/>
      <c r="D241" s="6" t="n"/>
      <c r="E241" s="40" t="n"/>
      <c r="F241" s="36" t="n"/>
      <c r="G241" s="41">
        <f>IF($B241="","",$S241)</f>
        <v/>
      </c>
      <c r="H241" s="42">
        <f>IF($I241&lt;=0,"",('Engine'!$B$8*MAX(0,MIN($O241,'Engine'!$B$3)-MAX($O240,'Engine'!$B$2))+'Engine'!$B$9*MAX(0,MIN($O241,'Engine'!$B$5)-MAX($O240,'Engine'!$B$4))+'Engine'!$B$10*MAX(0,MIN($O241,'Engine'!$B$7)-MAX($O240,'Engine'!$B$6)))/100/$H$8/$I241*$H$8*100)</f>
        <v/>
      </c>
      <c r="I241" s="43">
        <f>$O241-$O240</f>
        <v/>
      </c>
      <c r="J241" s="41">
        <f>IF($I241&lt;=0,0,$S240*('Engine'!$B$8*MAX(0,MIN($O241,'Engine'!$B$3)-MAX($O240,'Engine'!$B$2))+'Engine'!$B$9*MAX(0,MIN($O241,'Engine'!$B$5)-MAX($O240,'Engine'!$B$4))+'Engine'!$B$10*MAX(0,MIN($O241,'Engine'!$B$7)-MAX($O240,'Engine'!$B$6)))/100/$H$8)</f>
        <v/>
      </c>
      <c r="K241" s="41">
        <f>IF($B241="","",$T241)</f>
        <v/>
      </c>
      <c r="L241" s="36" t="n"/>
      <c r="M241" s="41">
        <f>IF($L241="","",ROUND($S241-$L241,2))</f>
        <v/>
      </c>
      <c r="N241" s="44">
        <f>IF(AND($H$10&lt;&gt;"",$O241&lt;=$H$10),"LOCKED","OPEN")</f>
        <v/>
      </c>
      <c r="O241" s="25">
        <f>IF($B241="",$O240,$B241)</f>
        <v/>
      </c>
      <c r="S241" s="38">
        <f>$S240-IF($F241="",0,$F241)</f>
        <v/>
      </c>
      <c r="T241" s="38">
        <f>$T240+$J241</f>
        <v/>
      </c>
    </row>
    <row r="242">
      <c r="A242" s="39">
        <f>IF($F242="","",COUNT($F$14:$F242))</f>
        <v/>
      </c>
      <c r="B242" s="8" t="n"/>
      <c r="C242" s="6" t="n"/>
      <c r="D242" s="6" t="n"/>
      <c r="E242" s="40" t="n"/>
      <c r="F242" s="36" t="n"/>
      <c r="G242" s="41">
        <f>IF($B242="","",$S242)</f>
        <v/>
      </c>
      <c r="H242" s="42">
        <f>IF($I242&lt;=0,"",('Engine'!$B$8*MAX(0,MIN($O242,'Engine'!$B$3)-MAX($O241,'Engine'!$B$2))+'Engine'!$B$9*MAX(0,MIN($O242,'Engine'!$B$5)-MAX($O241,'Engine'!$B$4))+'Engine'!$B$10*MAX(0,MIN($O242,'Engine'!$B$7)-MAX($O241,'Engine'!$B$6)))/100/$H$8/$I242*$H$8*100)</f>
        <v/>
      </c>
      <c r="I242" s="43">
        <f>$O242-$O241</f>
        <v/>
      </c>
      <c r="J242" s="41">
        <f>IF($I242&lt;=0,0,$S241*('Engine'!$B$8*MAX(0,MIN($O242,'Engine'!$B$3)-MAX($O241,'Engine'!$B$2))+'Engine'!$B$9*MAX(0,MIN($O242,'Engine'!$B$5)-MAX($O241,'Engine'!$B$4))+'Engine'!$B$10*MAX(0,MIN($O242,'Engine'!$B$7)-MAX($O241,'Engine'!$B$6)))/100/$H$8)</f>
        <v/>
      </c>
      <c r="K242" s="41">
        <f>IF($B242="","",$T242)</f>
        <v/>
      </c>
      <c r="L242" s="36" t="n"/>
      <c r="M242" s="41">
        <f>IF($L242="","",ROUND($S242-$L242,2))</f>
        <v/>
      </c>
      <c r="N242" s="44">
        <f>IF(AND($H$10&lt;&gt;"",$O242&lt;=$H$10),"LOCKED","OPEN")</f>
        <v/>
      </c>
      <c r="O242" s="25">
        <f>IF($B242="",$O241,$B242)</f>
        <v/>
      </c>
      <c r="S242" s="38">
        <f>$S241-IF($F242="",0,$F242)</f>
        <v/>
      </c>
      <c r="T242" s="38">
        <f>$T241+$J242</f>
        <v/>
      </c>
    </row>
    <row r="243">
      <c r="A243" s="39">
        <f>IF($F243="","",COUNT($F$14:$F243))</f>
        <v/>
      </c>
      <c r="B243" s="8" t="n"/>
      <c r="C243" s="6" t="n"/>
      <c r="D243" s="6" t="n"/>
      <c r="E243" s="40" t="n"/>
      <c r="F243" s="36" t="n"/>
      <c r="G243" s="41">
        <f>IF($B243="","",$S243)</f>
        <v/>
      </c>
      <c r="H243" s="42">
        <f>IF($I243&lt;=0,"",('Engine'!$B$8*MAX(0,MIN($O243,'Engine'!$B$3)-MAX($O242,'Engine'!$B$2))+'Engine'!$B$9*MAX(0,MIN($O243,'Engine'!$B$5)-MAX($O242,'Engine'!$B$4))+'Engine'!$B$10*MAX(0,MIN($O243,'Engine'!$B$7)-MAX($O242,'Engine'!$B$6)))/100/$H$8/$I243*$H$8*100)</f>
        <v/>
      </c>
      <c r="I243" s="43">
        <f>$O243-$O242</f>
        <v/>
      </c>
      <c r="J243" s="41">
        <f>IF($I243&lt;=0,0,$S242*('Engine'!$B$8*MAX(0,MIN($O243,'Engine'!$B$3)-MAX($O242,'Engine'!$B$2))+'Engine'!$B$9*MAX(0,MIN($O243,'Engine'!$B$5)-MAX($O242,'Engine'!$B$4))+'Engine'!$B$10*MAX(0,MIN($O243,'Engine'!$B$7)-MAX($O242,'Engine'!$B$6)))/100/$H$8)</f>
        <v/>
      </c>
      <c r="K243" s="41">
        <f>IF($B243="","",$T243)</f>
        <v/>
      </c>
      <c r="L243" s="36" t="n"/>
      <c r="M243" s="41">
        <f>IF($L243="","",ROUND($S243-$L243,2))</f>
        <v/>
      </c>
      <c r="N243" s="44">
        <f>IF(AND($H$10&lt;&gt;"",$O243&lt;=$H$10),"LOCKED","OPEN")</f>
        <v/>
      </c>
      <c r="O243" s="25">
        <f>IF($B243="",$O242,$B243)</f>
        <v/>
      </c>
      <c r="S243" s="38">
        <f>$S242-IF($F243="",0,$F243)</f>
        <v/>
      </c>
      <c r="T243" s="38">
        <f>$T242+$J243</f>
        <v/>
      </c>
    </row>
    <row r="244">
      <c r="A244" s="39">
        <f>IF($F244="","",COUNT($F$14:$F244))</f>
        <v/>
      </c>
      <c r="B244" s="8" t="n"/>
      <c r="C244" s="6" t="n"/>
      <c r="D244" s="6" t="n"/>
      <c r="E244" s="40" t="n"/>
      <c r="F244" s="36" t="n"/>
      <c r="G244" s="41">
        <f>IF($B244="","",$S244)</f>
        <v/>
      </c>
      <c r="H244" s="42">
        <f>IF($I244&lt;=0,"",('Engine'!$B$8*MAX(0,MIN($O244,'Engine'!$B$3)-MAX($O243,'Engine'!$B$2))+'Engine'!$B$9*MAX(0,MIN($O244,'Engine'!$B$5)-MAX($O243,'Engine'!$B$4))+'Engine'!$B$10*MAX(0,MIN($O244,'Engine'!$B$7)-MAX($O243,'Engine'!$B$6)))/100/$H$8/$I244*$H$8*100)</f>
        <v/>
      </c>
      <c r="I244" s="43">
        <f>$O244-$O243</f>
        <v/>
      </c>
      <c r="J244" s="41">
        <f>IF($I244&lt;=0,0,$S243*('Engine'!$B$8*MAX(0,MIN($O244,'Engine'!$B$3)-MAX($O243,'Engine'!$B$2))+'Engine'!$B$9*MAX(0,MIN($O244,'Engine'!$B$5)-MAX($O243,'Engine'!$B$4))+'Engine'!$B$10*MAX(0,MIN($O244,'Engine'!$B$7)-MAX($O243,'Engine'!$B$6)))/100/$H$8)</f>
        <v/>
      </c>
      <c r="K244" s="41">
        <f>IF($B244="","",$T244)</f>
        <v/>
      </c>
      <c r="L244" s="36" t="n"/>
      <c r="M244" s="41">
        <f>IF($L244="","",ROUND($S244-$L244,2))</f>
        <v/>
      </c>
      <c r="N244" s="44">
        <f>IF(AND($H$10&lt;&gt;"",$O244&lt;=$H$10),"LOCKED","OPEN")</f>
        <v/>
      </c>
      <c r="O244" s="25">
        <f>IF($B244="",$O243,$B244)</f>
        <v/>
      </c>
      <c r="S244" s="38">
        <f>$S243-IF($F244="",0,$F244)</f>
        <v/>
      </c>
      <c r="T244" s="38">
        <f>$T243+$J244</f>
        <v/>
      </c>
    </row>
    <row r="245">
      <c r="A245" s="39">
        <f>IF($F245="","",COUNT($F$14:$F245))</f>
        <v/>
      </c>
      <c r="B245" s="8" t="n"/>
      <c r="C245" s="6" t="n"/>
      <c r="D245" s="6" t="n"/>
      <c r="E245" s="40" t="n"/>
      <c r="F245" s="36" t="n"/>
      <c r="G245" s="41">
        <f>IF($B245="","",$S245)</f>
        <v/>
      </c>
      <c r="H245" s="42">
        <f>IF($I245&lt;=0,"",('Engine'!$B$8*MAX(0,MIN($O245,'Engine'!$B$3)-MAX($O244,'Engine'!$B$2))+'Engine'!$B$9*MAX(0,MIN($O245,'Engine'!$B$5)-MAX($O244,'Engine'!$B$4))+'Engine'!$B$10*MAX(0,MIN($O245,'Engine'!$B$7)-MAX($O244,'Engine'!$B$6)))/100/$H$8/$I245*$H$8*100)</f>
        <v/>
      </c>
      <c r="I245" s="43">
        <f>$O245-$O244</f>
        <v/>
      </c>
      <c r="J245" s="41">
        <f>IF($I245&lt;=0,0,$S244*('Engine'!$B$8*MAX(0,MIN($O245,'Engine'!$B$3)-MAX($O244,'Engine'!$B$2))+'Engine'!$B$9*MAX(0,MIN($O245,'Engine'!$B$5)-MAX($O244,'Engine'!$B$4))+'Engine'!$B$10*MAX(0,MIN($O245,'Engine'!$B$7)-MAX($O244,'Engine'!$B$6)))/100/$H$8)</f>
        <v/>
      </c>
      <c r="K245" s="41">
        <f>IF($B245="","",$T245)</f>
        <v/>
      </c>
      <c r="L245" s="36" t="n"/>
      <c r="M245" s="41">
        <f>IF($L245="","",ROUND($S245-$L245,2))</f>
        <v/>
      </c>
      <c r="N245" s="44">
        <f>IF(AND($H$10&lt;&gt;"",$O245&lt;=$H$10),"LOCKED","OPEN")</f>
        <v/>
      </c>
      <c r="O245" s="25">
        <f>IF($B245="",$O244,$B245)</f>
        <v/>
      </c>
      <c r="S245" s="38">
        <f>$S244-IF($F245="",0,$F245)</f>
        <v/>
      </c>
      <c r="T245" s="38">
        <f>$T244+$J245</f>
        <v/>
      </c>
    </row>
    <row r="246">
      <c r="A246" s="39">
        <f>IF($F246="","",COUNT($F$14:$F246))</f>
        <v/>
      </c>
      <c r="B246" s="8" t="n"/>
      <c r="C246" s="6" t="n"/>
      <c r="D246" s="6" t="n"/>
      <c r="E246" s="40" t="n"/>
      <c r="F246" s="36" t="n"/>
      <c r="G246" s="41">
        <f>IF($B246="","",$S246)</f>
        <v/>
      </c>
      <c r="H246" s="42">
        <f>IF($I246&lt;=0,"",('Engine'!$B$8*MAX(0,MIN($O246,'Engine'!$B$3)-MAX($O245,'Engine'!$B$2))+'Engine'!$B$9*MAX(0,MIN($O246,'Engine'!$B$5)-MAX($O245,'Engine'!$B$4))+'Engine'!$B$10*MAX(0,MIN($O246,'Engine'!$B$7)-MAX($O245,'Engine'!$B$6)))/100/$H$8/$I246*$H$8*100)</f>
        <v/>
      </c>
      <c r="I246" s="43">
        <f>$O246-$O245</f>
        <v/>
      </c>
      <c r="J246" s="41">
        <f>IF($I246&lt;=0,0,$S245*('Engine'!$B$8*MAX(0,MIN($O246,'Engine'!$B$3)-MAX($O245,'Engine'!$B$2))+'Engine'!$B$9*MAX(0,MIN($O246,'Engine'!$B$5)-MAX($O245,'Engine'!$B$4))+'Engine'!$B$10*MAX(0,MIN($O246,'Engine'!$B$7)-MAX($O245,'Engine'!$B$6)))/100/$H$8)</f>
        <v/>
      </c>
      <c r="K246" s="41">
        <f>IF($B246="","",$T246)</f>
        <v/>
      </c>
      <c r="L246" s="36" t="n"/>
      <c r="M246" s="41">
        <f>IF($L246="","",ROUND($S246-$L246,2))</f>
        <v/>
      </c>
      <c r="N246" s="44">
        <f>IF(AND($H$10&lt;&gt;"",$O246&lt;=$H$10),"LOCKED","OPEN")</f>
        <v/>
      </c>
      <c r="O246" s="25">
        <f>IF($B246="",$O245,$B246)</f>
        <v/>
      </c>
      <c r="S246" s="38">
        <f>$S245-IF($F246="",0,$F246)</f>
        <v/>
      </c>
      <c r="T246" s="38">
        <f>$T245+$J246</f>
        <v/>
      </c>
    </row>
    <row r="247">
      <c r="A247" s="45" t="inlineStr">
        <is>
          <t>INT</t>
        </is>
      </c>
      <c r="B247" s="46">
        <f>$Q$235</f>
        <v/>
      </c>
      <c r="C247" s="47" t="n"/>
      <c r="D247" s="48">
        <f>"Interest for the quarter debited &amp; capitalised   ·   rate(s) applied :  "&amp;$R$235</f>
        <v/>
      </c>
      <c r="E247" s="49">
        <f>ROUND($T246+$J247,2)</f>
        <v/>
      </c>
      <c r="F247" s="50" t="n"/>
      <c r="G247" s="49">
        <f>$S247</f>
        <v/>
      </c>
      <c r="H247" s="51">
        <f>IF($I247&lt;=0,"",('Engine'!$B$8*MAX(0,MIN($O247,'Engine'!$B$3)-MAX($O246,'Engine'!$B$2))+'Engine'!$B$9*MAX(0,MIN($O247,'Engine'!$B$5)-MAX($O246,'Engine'!$B$4))+'Engine'!$B$10*MAX(0,MIN($O247,'Engine'!$B$7)-MAX($O246,'Engine'!$B$6)))/100/$H$8/$I247*$H$8*100)</f>
        <v/>
      </c>
      <c r="I247" s="52">
        <f>$O247-$O246</f>
        <v/>
      </c>
      <c r="J247" s="53">
        <f>IF($I247&lt;=0,0,$S246*('Engine'!$B$8*MAX(0,MIN($O247,'Engine'!$B$3)-MAX($O246,'Engine'!$B$2))+'Engine'!$B$9*MAX(0,MIN($O247,'Engine'!$B$5)-MAX($O246,'Engine'!$B$4))+'Engine'!$B$10*MAX(0,MIN($O247,'Engine'!$B$7)-MAX($O246,'Engine'!$B$6)))/100/$H$8)</f>
        <v/>
      </c>
      <c r="K247" s="53" t="n">
        <v>0</v>
      </c>
      <c r="L247" s="36" t="n"/>
      <c r="M247" s="53">
        <f>IF($L247="","",ROUND($S247-$L247,2))</f>
        <v/>
      </c>
      <c r="N247" s="54">
        <f>IF(AND($H$10&lt;&gt;"",$O247&lt;=$H$10),"LOCKED","OPEN")</f>
        <v/>
      </c>
      <c r="O247" s="25">
        <f>$Q$235</f>
        <v/>
      </c>
      <c r="S247" s="38">
        <f>$S246+$E247</f>
        <v/>
      </c>
      <c r="T247" s="38" t="n">
        <v>0</v>
      </c>
    </row>
    <row r="248" ht="18" customHeight="1">
      <c r="A248" s="24">
        <f>IF($P$248=0,"QUARTER 19          –  enter the Balance B/F date above to activate this quarter  –","QUARTER 19          "&amp;TEXT($P$248,"DD-MM-YYYY")&amp;"   to   "&amp;TEXT($Q$248,"DD-MM-YYYY")&amp;"          "&amp;IF(AND($H$10&lt;&gt;"",$Q$248&lt;=$H$10),"■ LOCKED – reconciled, no entry allowed","▷ OPEN for entry")&amp;"          RATE(S) APPLIED :  "&amp;$R$248)</f>
        <v/>
      </c>
      <c r="O248" s="25">
        <f>'Engine'!$E$20</f>
        <v/>
      </c>
      <c r="P248" s="25">
        <f>'Engine'!$E$20</f>
        <v/>
      </c>
      <c r="Q248" s="25">
        <f>'Engine'!$F$20</f>
        <v/>
      </c>
      <c r="R248" s="26">
        <f>'Engine'!$G$20</f>
        <v/>
      </c>
    </row>
    <row r="249">
      <c r="A249" s="27" t="inlineStr">
        <is>
          <t>B/F</t>
        </is>
      </c>
      <c r="B249" s="28">
        <f>$P$248</f>
        <v/>
      </c>
      <c r="C249" s="29" t="n"/>
      <c r="D249" s="30">
        <f>"Balance carried forward from quarter 18 – interest capitalised"</f>
        <v/>
      </c>
      <c r="E249" s="31" t="n"/>
      <c r="F249" s="31" t="n"/>
      <c r="G249" s="32">
        <f>$S$249</f>
        <v/>
      </c>
      <c r="H249" s="33" t="n"/>
      <c r="I249" s="34">
        <f>$O$249-$O$247</f>
        <v/>
      </c>
      <c r="J249" s="35" t="n">
        <v>0</v>
      </c>
      <c r="K249" s="35" t="n">
        <v>0</v>
      </c>
      <c r="L249" s="36" t="n"/>
      <c r="M249" s="35">
        <f>IF($L$249="","",ROUND($S$249-$L$249,2))</f>
        <v/>
      </c>
      <c r="N249" s="37">
        <f>IF(AND($H$10&lt;&gt;"",$O$249&lt;=$H$10),"LOCKED","OPEN")</f>
        <v/>
      </c>
      <c r="O249" s="25">
        <f>$P$248</f>
        <v/>
      </c>
      <c r="S249" s="38">
        <f>$S$247</f>
        <v/>
      </c>
      <c r="T249" s="38" t="n">
        <v>0</v>
      </c>
    </row>
    <row r="250">
      <c r="A250" s="39">
        <f>IF($F250="","",COUNT($F$14:$F250))</f>
        <v/>
      </c>
      <c r="B250" s="8" t="n"/>
      <c r="C250" s="6" t="n"/>
      <c r="D250" s="6" t="n"/>
      <c r="E250" s="40" t="n"/>
      <c r="F250" s="36" t="n"/>
      <c r="G250" s="41">
        <f>IF($B250="","",$S250)</f>
        <v/>
      </c>
      <c r="H250" s="42">
        <f>IF($I250&lt;=0,"",('Engine'!$B$8*MAX(0,MIN($O250,'Engine'!$B$3)-MAX($O249,'Engine'!$B$2))+'Engine'!$B$9*MAX(0,MIN($O250,'Engine'!$B$5)-MAX($O249,'Engine'!$B$4))+'Engine'!$B$10*MAX(0,MIN($O250,'Engine'!$B$7)-MAX($O249,'Engine'!$B$6)))/100/$H$8/$I250*$H$8*100)</f>
        <v/>
      </c>
      <c r="I250" s="43">
        <f>$O250-$O249</f>
        <v/>
      </c>
      <c r="J250" s="41">
        <f>IF($I250&lt;=0,0,$S249*('Engine'!$B$8*MAX(0,MIN($O250,'Engine'!$B$3)-MAX($O249,'Engine'!$B$2))+'Engine'!$B$9*MAX(0,MIN($O250,'Engine'!$B$5)-MAX($O249,'Engine'!$B$4))+'Engine'!$B$10*MAX(0,MIN($O250,'Engine'!$B$7)-MAX($O249,'Engine'!$B$6)))/100/$H$8)</f>
        <v/>
      </c>
      <c r="K250" s="41">
        <f>IF($B250="","",$T250)</f>
        <v/>
      </c>
      <c r="L250" s="36" t="n"/>
      <c r="M250" s="41">
        <f>IF($L250="","",ROUND($S250-$L250,2))</f>
        <v/>
      </c>
      <c r="N250" s="44">
        <f>IF(AND($H$10&lt;&gt;"",$O250&lt;=$H$10),"LOCKED","OPEN")</f>
        <v/>
      </c>
      <c r="O250" s="25">
        <f>IF($B250="",$O249,$B250)</f>
        <v/>
      </c>
      <c r="S250" s="38">
        <f>$S249-IF($F250="",0,$F250)</f>
        <v/>
      </c>
      <c r="T250" s="38">
        <f>$T249+$J250</f>
        <v/>
      </c>
    </row>
    <row r="251">
      <c r="A251" s="39">
        <f>IF($F251="","",COUNT($F$14:$F251))</f>
        <v/>
      </c>
      <c r="B251" s="8" t="n"/>
      <c r="C251" s="6" t="n"/>
      <c r="D251" s="6" t="n"/>
      <c r="E251" s="40" t="n"/>
      <c r="F251" s="36" t="n"/>
      <c r="G251" s="41">
        <f>IF($B251="","",$S251)</f>
        <v/>
      </c>
      <c r="H251" s="42">
        <f>IF($I251&lt;=0,"",('Engine'!$B$8*MAX(0,MIN($O251,'Engine'!$B$3)-MAX($O250,'Engine'!$B$2))+'Engine'!$B$9*MAX(0,MIN($O251,'Engine'!$B$5)-MAX($O250,'Engine'!$B$4))+'Engine'!$B$10*MAX(0,MIN($O251,'Engine'!$B$7)-MAX($O250,'Engine'!$B$6)))/100/$H$8/$I251*$H$8*100)</f>
        <v/>
      </c>
      <c r="I251" s="43">
        <f>$O251-$O250</f>
        <v/>
      </c>
      <c r="J251" s="41">
        <f>IF($I251&lt;=0,0,$S250*('Engine'!$B$8*MAX(0,MIN($O251,'Engine'!$B$3)-MAX($O250,'Engine'!$B$2))+'Engine'!$B$9*MAX(0,MIN($O251,'Engine'!$B$5)-MAX($O250,'Engine'!$B$4))+'Engine'!$B$10*MAX(0,MIN($O251,'Engine'!$B$7)-MAX($O250,'Engine'!$B$6)))/100/$H$8)</f>
        <v/>
      </c>
      <c r="K251" s="41">
        <f>IF($B251="","",$T251)</f>
        <v/>
      </c>
      <c r="L251" s="36" t="n"/>
      <c r="M251" s="41">
        <f>IF($L251="","",ROUND($S251-$L251,2))</f>
        <v/>
      </c>
      <c r="N251" s="44">
        <f>IF(AND($H$10&lt;&gt;"",$O251&lt;=$H$10),"LOCKED","OPEN")</f>
        <v/>
      </c>
      <c r="O251" s="25">
        <f>IF($B251="",$O250,$B251)</f>
        <v/>
      </c>
      <c r="S251" s="38">
        <f>$S250-IF($F251="",0,$F251)</f>
        <v/>
      </c>
      <c r="T251" s="38">
        <f>$T250+$J251</f>
        <v/>
      </c>
    </row>
    <row r="252">
      <c r="A252" s="39">
        <f>IF($F252="","",COUNT($F$14:$F252))</f>
        <v/>
      </c>
      <c r="B252" s="8" t="n"/>
      <c r="C252" s="6" t="n"/>
      <c r="D252" s="6" t="n"/>
      <c r="E252" s="40" t="n"/>
      <c r="F252" s="36" t="n"/>
      <c r="G252" s="41">
        <f>IF($B252="","",$S252)</f>
        <v/>
      </c>
      <c r="H252" s="42">
        <f>IF($I252&lt;=0,"",('Engine'!$B$8*MAX(0,MIN($O252,'Engine'!$B$3)-MAX($O251,'Engine'!$B$2))+'Engine'!$B$9*MAX(0,MIN($O252,'Engine'!$B$5)-MAX($O251,'Engine'!$B$4))+'Engine'!$B$10*MAX(0,MIN($O252,'Engine'!$B$7)-MAX($O251,'Engine'!$B$6)))/100/$H$8/$I252*$H$8*100)</f>
        <v/>
      </c>
      <c r="I252" s="43">
        <f>$O252-$O251</f>
        <v/>
      </c>
      <c r="J252" s="41">
        <f>IF($I252&lt;=0,0,$S251*('Engine'!$B$8*MAX(0,MIN($O252,'Engine'!$B$3)-MAX($O251,'Engine'!$B$2))+'Engine'!$B$9*MAX(0,MIN($O252,'Engine'!$B$5)-MAX($O251,'Engine'!$B$4))+'Engine'!$B$10*MAX(0,MIN($O252,'Engine'!$B$7)-MAX($O251,'Engine'!$B$6)))/100/$H$8)</f>
        <v/>
      </c>
      <c r="K252" s="41">
        <f>IF($B252="","",$T252)</f>
        <v/>
      </c>
      <c r="L252" s="36" t="n"/>
      <c r="M252" s="41">
        <f>IF($L252="","",ROUND($S252-$L252,2))</f>
        <v/>
      </c>
      <c r="N252" s="44">
        <f>IF(AND($H$10&lt;&gt;"",$O252&lt;=$H$10),"LOCKED","OPEN")</f>
        <v/>
      </c>
      <c r="O252" s="25">
        <f>IF($B252="",$O251,$B252)</f>
        <v/>
      </c>
      <c r="S252" s="38">
        <f>$S251-IF($F252="",0,$F252)</f>
        <v/>
      </c>
      <c r="T252" s="38">
        <f>$T251+$J252</f>
        <v/>
      </c>
    </row>
    <row r="253">
      <c r="A253" s="39">
        <f>IF($F253="","",COUNT($F$14:$F253))</f>
        <v/>
      </c>
      <c r="B253" s="8" t="n"/>
      <c r="C253" s="6" t="n"/>
      <c r="D253" s="6" t="n"/>
      <c r="E253" s="40" t="n"/>
      <c r="F253" s="36" t="n"/>
      <c r="G253" s="41">
        <f>IF($B253="","",$S253)</f>
        <v/>
      </c>
      <c r="H253" s="42">
        <f>IF($I253&lt;=0,"",('Engine'!$B$8*MAX(0,MIN($O253,'Engine'!$B$3)-MAX($O252,'Engine'!$B$2))+'Engine'!$B$9*MAX(0,MIN($O253,'Engine'!$B$5)-MAX($O252,'Engine'!$B$4))+'Engine'!$B$10*MAX(0,MIN($O253,'Engine'!$B$7)-MAX($O252,'Engine'!$B$6)))/100/$H$8/$I253*$H$8*100)</f>
        <v/>
      </c>
      <c r="I253" s="43">
        <f>$O253-$O252</f>
        <v/>
      </c>
      <c r="J253" s="41">
        <f>IF($I253&lt;=0,0,$S252*('Engine'!$B$8*MAX(0,MIN($O253,'Engine'!$B$3)-MAX($O252,'Engine'!$B$2))+'Engine'!$B$9*MAX(0,MIN($O253,'Engine'!$B$5)-MAX($O252,'Engine'!$B$4))+'Engine'!$B$10*MAX(0,MIN($O253,'Engine'!$B$7)-MAX($O252,'Engine'!$B$6)))/100/$H$8)</f>
        <v/>
      </c>
      <c r="K253" s="41">
        <f>IF($B253="","",$T253)</f>
        <v/>
      </c>
      <c r="L253" s="36" t="n"/>
      <c r="M253" s="41">
        <f>IF($L253="","",ROUND($S253-$L253,2))</f>
        <v/>
      </c>
      <c r="N253" s="44">
        <f>IF(AND($H$10&lt;&gt;"",$O253&lt;=$H$10),"LOCKED","OPEN")</f>
        <v/>
      </c>
      <c r="O253" s="25">
        <f>IF($B253="",$O252,$B253)</f>
        <v/>
      </c>
      <c r="S253" s="38">
        <f>$S252-IF($F253="",0,$F253)</f>
        <v/>
      </c>
      <c r="T253" s="38">
        <f>$T252+$J253</f>
        <v/>
      </c>
    </row>
    <row r="254">
      <c r="A254" s="39">
        <f>IF($F254="","",COUNT($F$14:$F254))</f>
        <v/>
      </c>
      <c r="B254" s="8" t="n"/>
      <c r="C254" s="6" t="n"/>
      <c r="D254" s="6" t="n"/>
      <c r="E254" s="40" t="n"/>
      <c r="F254" s="36" t="n"/>
      <c r="G254" s="41">
        <f>IF($B254="","",$S254)</f>
        <v/>
      </c>
      <c r="H254" s="42">
        <f>IF($I254&lt;=0,"",('Engine'!$B$8*MAX(0,MIN($O254,'Engine'!$B$3)-MAX($O253,'Engine'!$B$2))+'Engine'!$B$9*MAX(0,MIN($O254,'Engine'!$B$5)-MAX($O253,'Engine'!$B$4))+'Engine'!$B$10*MAX(0,MIN($O254,'Engine'!$B$7)-MAX($O253,'Engine'!$B$6)))/100/$H$8/$I254*$H$8*100)</f>
        <v/>
      </c>
      <c r="I254" s="43">
        <f>$O254-$O253</f>
        <v/>
      </c>
      <c r="J254" s="41">
        <f>IF($I254&lt;=0,0,$S253*('Engine'!$B$8*MAX(0,MIN($O254,'Engine'!$B$3)-MAX($O253,'Engine'!$B$2))+'Engine'!$B$9*MAX(0,MIN($O254,'Engine'!$B$5)-MAX($O253,'Engine'!$B$4))+'Engine'!$B$10*MAX(0,MIN($O254,'Engine'!$B$7)-MAX($O253,'Engine'!$B$6)))/100/$H$8)</f>
        <v/>
      </c>
      <c r="K254" s="41">
        <f>IF($B254="","",$T254)</f>
        <v/>
      </c>
      <c r="L254" s="36" t="n"/>
      <c r="M254" s="41">
        <f>IF($L254="","",ROUND($S254-$L254,2))</f>
        <v/>
      </c>
      <c r="N254" s="44">
        <f>IF(AND($H$10&lt;&gt;"",$O254&lt;=$H$10),"LOCKED","OPEN")</f>
        <v/>
      </c>
      <c r="O254" s="25">
        <f>IF($B254="",$O253,$B254)</f>
        <v/>
      </c>
      <c r="S254" s="38">
        <f>$S253-IF($F254="",0,$F254)</f>
        <v/>
      </c>
      <c r="T254" s="38">
        <f>$T253+$J254</f>
        <v/>
      </c>
    </row>
    <row r="255">
      <c r="A255" s="39">
        <f>IF($F255="","",COUNT($F$14:$F255))</f>
        <v/>
      </c>
      <c r="B255" s="8" t="n"/>
      <c r="C255" s="6" t="n"/>
      <c r="D255" s="6" t="n"/>
      <c r="E255" s="40" t="n"/>
      <c r="F255" s="36" t="n"/>
      <c r="G255" s="41">
        <f>IF($B255="","",$S255)</f>
        <v/>
      </c>
      <c r="H255" s="42">
        <f>IF($I255&lt;=0,"",('Engine'!$B$8*MAX(0,MIN($O255,'Engine'!$B$3)-MAX($O254,'Engine'!$B$2))+'Engine'!$B$9*MAX(0,MIN($O255,'Engine'!$B$5)-MAX($O254,'Engine'!$B$4))+'Engine'!$B$10*MAX(0,MIN($O255,'Engine'!$B$7)-MAX($O254,'Engine'!$B$6)))/100/$H$8/$I255*$H$8*100)</f>
        <v/>
      </c>
      <c r="I255" s="43">
        <f>$O255-$O254</f>
        <v/>
      </c>
      <c r="J255" s="41">
        <f>IF($I255&lt;=0,0,$S254*('Engine'!$B$8*MAX(0,MIN($O255,'Engine'!$B$3)-MAX($O254,'Engine'!$B$2))+'Engine'!$B$9*MAX(0,MIN($O255,'Engine'!$B$5)-MAX($O254,'Engine'!$B$4))+'Engine'!$B$10*MAX(0,MIN($O255,'Engine'!$B$7)-MAX($O254,'Engine'!$B$6)))/100/$H$8)</f>
        <v/>
      </c>
      <c r="K255" s="41">
        <f>IF($B255="","",$T255)</f>
        <v/>
      </c>
      <c r="L255" s="36" t="n"/>
      <c r="M255" s="41">
        <f>IF($L255="","",ROUND($S255-$L255,2))</f>
        <v/>
      </c>
      <c r="N255" s="44">
        <f>IF(AND($H$10&lt;&gt;"",$O255&lt;=$H$10),"LOCKED","OPEN")</f>
        <v/>
      </c>
      <c r="O255" s="25">
        <f>IF($B255="",$O254,$B255)</f>
        <v/>
      </c>
      <c r="S255" s="38">
        <f>$S254-IF($F255="",0,$F255)</f>
        <v/>
      </c>
      <c r="T255" s="38">
        <f>$T254+$J255</f>
        <v/>
      </c>
    </row>
    <row r="256">
      <c r="A256" s="39">
        <f>IF($F256="","",COUNT($F$14:$F256))</f>
        <v/>
      </c>
      <c r="B256" s="8" t="n"/>
      <c r="C256" s="6" t="n"/>
      <c r="D256" s="6" t="n"/>
      <c r="E256" s="40" t="n"/>
      <c r="F256" s="36" t="n"/>
      <c r="G256" s="41">
        <f>IF($B256="","",$S256)</f>
        <v/>
      </c>
      <c r="H256" s="42">
        <f>IF($I256&lt;=0,"",('Engine'!$B$8*MAX(0,MIN($O256,'Engine'!$B$3)-MAX($O255,'Engine'!$B$2))+'Engine'!$B$9*MAX(0,MIN($O256,'Engine'!$B$5)-MAX($O255,'Engine'!$B$4))+'Engine'!$B$10*MAX(0,MIN($O256,'Engine'!$B$7)-MAX($O255,'Engine'!$B$6)))/100/$H$8/$I256*$H$8*100)</f>
        <v/>
      </c>
      <c r="I256" s="43">
        <f>$O256-$O255</f>
        <v/>
      </c>
      <c r="J256" s="41">
        <f>IF($I256&lt;=0,0,$S255*('Engine'!$B$8*MAX(0,MIN($O256,'Engine'!$B$3)-MAX($O255,'Engine'!$B$2))+'Engine'!$B$9*MAX(0,MIN($O256,'Engine'!$B$5)-MAX($O255,'Engine'!$B$4))+'Engine'!$B$10*MAX(0,MIN($O256,'Engine'!$B$7)-MAX($O255,'Engine'!$B$6)))/100/$H$8)</f>
        <v/>
      </c>
      <c r="K256" s="41">
        <f>IF($B256="","",$T256)</f>
        <v/>
      </c>
      <c r="L256" s="36" t="n"/>
      <c r="M256" s="41">
        <f>IF($L256="","",ROUND($S256-$L256,2))</f>
        <v/>
      </c>
      <c r="N256" s="44">
        <f>IF(AND($H$10&lt;&gt;"",$O256&lt;=$H$10),"LOCKED","OPEN")</f>
        <v/>
      </c>
      <c r="O256" s="25">
        <f>IF($B256="",$O255,$B256)</f>
        <v/>
      </c>
      <c r="S256" s="38">
        <f>$S255-IF($F256="",0,$F256)</f>
        <v/>
      </c>
      <c r="T256" s="38">
        <f>$T255+$J256</f>
        <v/>
      </c>
    </row>
    <row r="257">
      <c r="A257" s="39">
        <f>IF($F257="","",COUNT($F$14:$F257))</f>
        <v/>
      </c>
      <c r="B257" s="8" t="n"/>
      <c r="C257" s="6" t="n"/>
      <c r="D257" s="6" t="n"/>
      <c r="E257" s="40" t="n"/>
      <c r="F257" s="36" t="n"/>
      <c r="G257" s="41">
        <f>IF($B257="","",$S257)</f>
        <v/>
      </c>
      <c r="H257" s="42">
        <f>IF($I257&lt;=0,"",('Engine'!$B$8*MAX(0,MIN($O257,'Engine'!$B$3)-MAX($O256,'Engine'!$B$2))+'Engine'!$B$9*MAX(0,MIN($O257,'Engine'!$B$5)-MAX($O256,'Engine'!$B$4))+'Engine'!$B$10*MAX(0,MIN($O257,'Engine'!$B$7)-MAX($O256,'Engine'!$B$6)))/100/$H$8/$I257*$H$8*100)</f>
        <v/>
      </c>
      <c r="I257" s="43">
        <f>$O257-$O256</f>
        <v/>
      </c>
      <c r="J257" s="41">
        <f>IF($I257&lt;=0,0,$S256*('Engine'!$B$8*MAX(0,MIN($O257,'Engine'!$B$3)-MAX($O256,'Engine'!$B$2))+'Engine'!$B$9*MAX(0,MIN($O257,'Engine'!$B$5)-MAX($O256,'Engine'!$B$4))+'Engine'!$B$10*MAX(0,MIN($O257,'Engine'!$B$7)-MAX($O256,'Engine'!$B$6)))/100/$H$8)</f>
        <v/>
      </c>
      <c r="K257" s="41">
        <f>IF($B257="","",$T257)</f>
        <v/>
      </c>
      <c r="L257" s="36" t="n"/>
      <c r="M257" s="41">
        <f>IF($L257="","",ROUND($S257-$L257,2))</f>
        <v/>
      </c>
      <c r="N257" s="44">
        <f>IF(AND($H$10&lt;&gt;"",$O257&lt;=$H$10),"LOCKED","OPEN")</f>
        <v/>
      </c>
      <c r="O257" s="25">
        <f>IF($B257="",$O256,$B257)</f>
        <v/>
      </c>
      <c r="S257" s="38">
        <f>$S256-IF($F257="",0,$F257)</f>
        <v/>
      </c>
      <c r="T257" s="38">
        <f>$T256+$J257</f>
        <v/>
      </c>
    </row>
    <row r="258">
      <c r="A258" s="39">
        <f>IF($F258="","",COUNT($F$14:$F258))</f>
        <v/>
      </c>
      <c r="B258" s="8" t="n"/>
      <c r="C258" s="6" t="n"/>
      <c r="D258" s="6" t="n"/>
      <c r="E258" s="40" t="n"/>
      <c r="F258" s="36" t="n"/>
      <c r="G258" s="41">
        <f>IF($B258="","",$S258)</f>
        <v/>
      </c>
      <c r="H258" s="42">
        <f>IF($I258&lt;=0,"",('Engine'!$B$8*MAX(0,MIN($O258,'Engine'!$B$3)-MAX($O257,'Engine'!$B$2))+'Engine'!$B$9*MAX(0,MIN($O258,'Engine'!$B$5)-MAX($O257,'Engine'!$B$4))+'Engine'!$B$10*MAX(0,MIN($O258,'Engine'!$B$7)-MAX($O257,'Engine'!$B$6)))/100/$H$8/$I258*$H$8*100)</f>
        <v/>
      </c>
      <c r="I258" s="43">
        <f>$O258-$O257</f>
        <v/>
      </c>
      <c r="J258" s="41">
        <f>IF($I258&lt;=0,0,$S257*('Engine'!$B$8*MAX(0,MIN($O258,'Engine'!$B$3)-MAX($O257,'Engine'!$B$2))+'Engine'!$B$9*MAX(0,MIN($O258,'Engine'!$B$5)-MAX($O257,'Engine'!$B$4))+'Engine'!$B$10*MAX(0,MIN($O258,'Engine'!$B$7)-MAX($O257,'Engine'!$B$6)))/100/$H$8)</f>
        <v/>
      </c>
      <c r="K258" s="41">
        <f>IF($B258="","",$T258)</f>
        <v/>
      </c>
      <c r="L258" s="36" t="n"/>
      <c r="M258" s="41">
        <f>IF($L258="","",ROUND($S258-$L258,2))</f>
        <v/>
      </c>
      <c r="N258" s="44">
        <f>IF(AND($H$10&lt;&gt;"",$O258&lt;=$H$10),"LOCKED","OPEN")</f>
        <v/>
      </c>
      <c r="O258" s="25">
        <f>IF($B258="",$O257,$B258)</f>
        <v/>
      </c>
      <c r="S258" s="38">
        <f>$S257-IF($F258="",0,$F258)</f>
        <v/>
      </c>
      <c r="T258" s="38">
        <f>$T257+$J258</f>
        <v/>
      </c>
    </row>
    <row r="259">
      <c r="A259" s="39">
        <f>IF($F259="","",COUNT($F$14:$F259))</f>
        <v/>
      </c>
      <c r="B259" s="8" t="n"/>
      <c r="C259" s="6" t="n"/>
      <c r="D259" s="6" t="n"/>
      <c r="E259" s="40" t="n"/>
      <c r="F259" s="36" t="n"/>
      <c r="G259" s="41">
        <f>IF($B259="","",$S259)</f>
        <v/>
      </c>
      <c r="H259" s="42">
        <f>IF($I259&lt;=0,"",('Engine'!$B$8*MAX(0,MIN($O259,'Engine'!$B$3)-MAX($O258,'Engine'!$B$2))+'Engine'!$B$9*MAX(0,MIN($O259,'Engine'!$B$5)-MAX($O258,'Engine'!$B$4))+'Engine'!$B$10*MAX(0,MIN($O259,'Engine'!$B$7)-MAX($O258,'Engine'!$B$6)))/100/$H$8/$I259*$H$8*100)</f>
        <v/>
      </c>
      <c r="I259" s="43">
        <f>$O259-$O258</f>
        <v/>
      </c>
      <c r="J259" s="41">
        <f>IF($I259&lt;=0,0,$S258*('Engine'!$B$8*MAX(0,MIN($O259,'Engine'!$B$3)-MAX($O258,'Engine'!$B$2))+'Engine'!$B$9*MAX(0,MIN($O259,'Engine'!$B$5)-MAX($O258,'Engine'!$B$4))+'Engine'!$B$10*MAX(0,MIN($O259,'Engine'!$B$7)-MAX($O258,'Engine'!$B$6)))/100/$H$8)</f>
        <v/>
      </c>
      <c r="K259" s="41">
        <f>IF($B259="","",$T259)</f>
        <v/>
      </c>
      <c r="L259" s="36" t="n"/>
      <c r="M259" s="41">
        <f>IF($L259="","",ROUND($S259-$L259,2))</f>
        <v/>
      </c>
      <c r="N259" s="44">
        <f>IF(AND($H$10&lt;&gt;"",$O259&lt;=$H$10),"LOCKED","OPEN")</f>
        <v/>
      </c>
      <c r="O259" s="25">
        <f>IF($B259="",$O258,$B259)</f>
        <v/>
      </c>
      <c r="S259" s="38">
        <f>$S258-IF($F259="",0,$F259)</f>
        <v/>
      </c>
      <c r="T259" s="38">
        <f>$T258+$J259</f>
        <v/>
      </c>
    </row>
    <row r="260">
      <c r="A260" s="45" t="inlineStr">
        <is>
          <t>INT</t>
        </is>
      </c>
      <c r="B260" s="46">
        <f>$Q$248</f>
        <v/>
      </c>
      <c r="C260" s="47" t="n"/>
      <c r="D260" s="48">
        <f>"Interest for the quarter debited &amp; capitalised   ·   rate(s) applied :  "&amp;$R$248</f>
        <v/>
      </c>
      <c r="E260" s="49">
        <f>ROUND($T259+$J260,2)</f>
        <v/>
      </c>
      <c r="F260" s="50" t="n"/>
      <c r="G260" s="49">
        <f>$S260</f>
        <v/>
      </c>
      <c r="H260" s="51">
        <f>IF($I260&lt;=0,"",('Engine'!$B$8*MAX(0,MIN($O260,'Engine'!$B$3)-MAX($O259,'Engine'!$B$2))+'Engine'!$B$9*MAX(0,MIN($O260,'Engine'!$B$5)-MAX($O259,'Engine'!$B$4))+'Engine'!$B$10*MAX(0,MIN($O260,'Engine'!$B$7)-MAX($O259,'Engine'!$B$6)))/100/$H$8/$I260*$H$8*100)</f>
        <v/>
      </c>
      <c r="I260" s="52">
        <f>$O260-$O259</f>
        <v/>
      </c>
      <c r="J260" s="53">
        <f>IF($I260&lt;=0,0,$S259*('Engine'!$B$8*MAX(0,MIN($O260,'Engine'!$B$3)-MAX($O259,'Engine'!$B$2))+'Engine'!$B$9*MAX(0,MIN($O260,'Engine'!$B$5)-MAX($O259,'Engine'!$B$4))+'Engine'!$B$10*MAX(0,MIN($O260,'Engine'!$B$7)-MAX($O259,'Engine'!$B$6)))/100/$H$8)</f>
        <v/>
      </c>
      <c r="K260" s="53" t="n">
        <v>0</v>
      </c>
      <c r="L260" s="36" t="n"/>
      <c r="M260" s="53">
        <f>IF($L260="","",ROUND($S260-$L260,2))</f>
        <v/>
      </c>
      <c r="N260" s="54">
        <f>IF(AND($H$10&lt;&gt;"",$O260&lt;=$H$10),"LOCKED","OPEN")</f>
        <v/>
      </c>
      <c r="O260" s="25">
        <f>$Q$248</f>
        <v/>
      </c>
      <c r="S260" s="38">
        <f>$S259+$E260</f>
        <v/>
      </c>
      <c r="T260" s="38" t="n">
        <v>0</v>
      </c>
    </row>
    <row r="261" ht="18" customHeight="1">
      <c r="A261" s="24">
        <f>IF($P$261=0,"QUARTER 20          –  enter the Balance B/F date above to activate this quarter  –","QUARTER 20          "&amp;TEXT($P$261,"DD-MM-YYYY")&amp;"   to   "&amp;TEXT($Q$261,"DD-MM-YYYY")&amp;"          "&amp;IF(AND($H$10&lt;&gt;"",$Q$261&lt;=$H$10),"■ LOCKED – reconciled, no entry allowed","▷ OPEN for entry")&amp;"          RATE(S) APPLIED :  "&amp;$R$261)</f>
        <v/>
      </c>
      <c r="O261" s="25">
        <f>'Engine'!$E$21</f>
        <v/>
      </c>
      <c r="P261" s="25">
        <f>'Engine'!$E$21</f>
        <v/>
      </c>
      <c r="Q261" s="25">
        <f>'Engine'!$F$21</f>
        <v/>
      </c>
      <c r="R261" s="26">
        <f>'Engine'!$G$21</f>
        <v/>
      </c>
    </row>
    <row r="262">
      <c r="A262" s="27" t="inlineStr">
        <is>
          <t>B/F</t>
        </is>
      </c>
      <c r="B262" s="28">
        <f>$P$261</f>
        <v/>
      </c>
      <c r="C262" s="29" t="n"/>
      <c r="D262" s="30">
        <f>"Balance carried forward from quarter 19 – interest capitalised"</f>
        <v/>
      </c>
      <c r="E262" s="31" t="n"/>
      <c r="F262" s="31" t="n"/>
      <c r="G262" s="32">
        <f>$S$262</f>
        <v/>
      </c>
      <c r="H262" s="33" t="n"/>
      <c r="I262" s="34">
        <f>$O$262-$O$260</f>
        <v/>
      </c>
      <c r="J262" s="35" t="n">
        <v>0</v>
      </c>
      <c r="K262" s="35" t="n">
        <v>0</v>
      </c>
      <c r="L262" s="36" t="n"/>
      <c r="M262" s="35">
        <f>IF($L$262="","",ROUND($S$262-$L$262,2))</f>
        <v/>
      </c>
      <c r="N262" s="37">
        <f>IF(AND($H$10&lt;&gt;"",$O$262&lt;=$H$10),"LOCKED","OPEN")</f>
        <v/>
      </c>
      <c r="O262" s="25">
        <f>$P$261</f>
        <v/>
      </c>
      <c r="S262" s="38">
        <f>$S$260</f>
        <v/>
      </c>
      <c r="T262" s="38" t="n">
        <v>0</v>
      </c>
    </row>
    <row r="263">
      <c r="A263" s="39">
        <f>IF($F263="","",COUNT($F$14:$F263))</f>
        <v/>
      </c>
      <c r="B263" s="8" t="n"/>
      <c r="C263" s="6" t="n"/>
      <c r="D263" s="6" t="n"/>
      <c r="E263" s="40" t="n"/>
      <c r="F263" s="36" t="n"/>
      <c r="G263" s="41">
        <f>IF($B263="","",$S263)</f>
        <v/>
      </c>
      <c r="H263" s="42">
        <f>IF($I263&lt;=0,"",('Engine'!$B$8*MAX(0,MIN($O263,'Engine'!$B$3)-MAX($O262,'Engine'!$B$2))+'Engine'!$B$9*MAX(0,MIN($O263,'Engine'!$B$5)-MAX($O262,'Engine'!$B$4))+'Engine'!$B$10*MAX(0,MIN($O263,'Engine'!$B$7)-MAX($O262,'Engine'!$B$6)))/100/$H$8/$I263*$H$8*100)</f>
        <v/>
      </c>
      <c r="I263" s="43">
        <f>$O263-$O262</f>
        <v/>
      </c>
      <c r="J263" s="41">
        <f>IF($I263&lt;=0,0,$S262*('Engine'!$B$8*MAX(0,MIN($O263,'Engine'!$B$3)-MAX($O262,'Engine'!$B$2))+'Engine'!$B$9*MAX(0,MIN($O263,'Engine'!$B$5)-MAX($O262,'Engine'!$B$4))+'Engine'!$B$10*MAX(0,MIN($O263,'Engine'!$B$7)-MAX($O262,'Engine'!$B$6)))/100/$H$8)</f>
        <v/>
      </c>
      <c r="K263" s="41">
        <f>IF($B263="","",$T263)</f>
        <v/>
      </c>
      <c r="L263" s="36" t="n"/>
      <c r="M263" s="41">
        <f>IF($L263="","",ROUND($S263-$L263,2))</f>
        <v/>
      </c>
      <c r="N263" s="44">
        <f>IF(AND($H$10&lt;&gt;"",$O263&lt;=$H$10),"LOCKED","OPEN")</f>
        <v/>
      </c>
      <c r="O263" s="25">
        <f>IF($B263="",$O262,$B263)</f>
        <v/>
      </c>
      <c r="S263" s="38">
        <f>$S262-IF($F263="",0,$F263)</f>
        <v/>
      </c>
      <c r="T263" s="38">
        <f>$T262+$J263</f>
        <v/>
      </c>
    </row>
    <row r="264">
      <c r="A264" s="39">
        <f>IF($F264="","",COUNT($F$14:$F264))</f>
        <v/>
      </c>
      <c r="B264" s="8" t="n"/>
      <c r="C264" s="6" t="n"/>
      <c r="D264" s="6" t="n"/>
      <c r="E264" s="40" t="n"/>
      <c r="F264" s="36" t="n"/>
      <c r="G264" s="41">
        <f>IF($B264="","",$S264)</f>
        <v/>
      </c>
      <c r="H264" s="42">
        <f>IF($I264&lt;=0,"",('Engine'!$B$8*MAX(0,MIN($O264,'Engine'!$B$3)-MAX($O263,'Engine'!$B$2))+'Engine'!$B$9*MAX(0,MIN($O264,'Engine'!$B$5)-MAX($O263,'Engine'!$B$4))+'Engine'!$B$10*MAX(0,MIN($O264,'Engine'!$B$7)-MAX($O263,'Engine'!$B$6)))/100/$H$8/$I264*$H$8*100)</f>
        <v/>
      </c>
      <c r="I264" s="43">
        <f>$O264-$O263</f>
        <v/>
      </c>
      <c r="J264" s="41">
        <f>IF($I264&lt;=0,0,$S263*('Engine'!$B$8*MAX(0,MIN($O264,'Engine'!$B$3)-MAX($O263,'Engine'!$B$2))+'Engine'!$B$9*MAX(0,MIN($O264,'Engine'!$B$5)-MAX($O263,'Engine'!$B$4))+'Engine'!$B$10*MAX(0,MIN($O264,'Engine'!$B$7)-MAX($O263,'Engine'!$B$6)))/100/$H$8)</f>
        <v/>
      </c>
      <c r="K264" s="41">
        <f>IF($B264="","",$T264)</f>
        <v/>
      </c>
      <c r="L264" s="36" t="n"/>
      <c r="M264" s="41">
        <f>IF($L264="","",ROUND($S264-$L264,2))</f>
        <v/>
      </c>
      <c r="N264" s="44">
        <f>IF(AND($H$10&lt;&gt;"",$O264&lt;=$H$10),"LOCKED","OPEN")</f>
        <v/>
      </c>
      <c r="O264" s="25">
        <f>IF($B264="",$O263,$B264)</f>
        <v/>
      </c>
      <c r="S264" s="38">
        <f>$S263-IF($F264="",0,$F264)</f>
        <v/>
      </c>
      <c r="T264" s="38">
        <f>$T263+$J264</f>
        <v/>
      </c>
    </row>
    <row r="265">
      <c r="A265" s="39">
        <f>IF($F265="","",COUNT($F$14:$F265))</f>
        <v/>
      </c>
      <c r="B265" s="8" t="n"/>
      <c r="C265" s="6" t="n"/>
      <c r="D265" s="6" t="n"/>
      <c r="E265" s="40" t="n"/>
      <c r="F265" s="36" t="n"/>
      <c r="G265" s="41">
        <f>IF($B265="","",$S265)</f>
        <v/>
      </c>
      <c r="H265" s="42">
        <f>IF($I265&lt;=0,"",('Engine'!$B$8*MAX(0,MIN($O265,'Engine'!$B$3)-MAX($O264,'Engine'!$B$2))+'Engine'!$B$9*MAX(0,MIN($O265,'Engine'!$B$5)-MAX($O264,'Engine'!$B$4))+'Engine'!$B$10*MAX(0,MIN($O265,'Engine'!$B$7)-MAX($O264,'Engine'!$B$6)))/100/$H$8/$I265*$H$8*100)</f>
        <v/>
      </c>
      <c r="I265" s="43">
        <f>$O265-$O264</f>
        <v/>
      </c>
      <c r="J265" s="41">
        <f>IF($I265&lt;=0,0,$S264*('Engine'!$B$8*MAX(0,MIN($O265,'Engine'!$B$3)-MAX($O264,'Engine'!$B$2))+'Engine'!$B$9*MAX(0,MIN($O265,'Engine'!$B$5)-MAX($O264,'Engine'!$B$4))+'Engine'!$B$10*MAX(0,MIN($O265,'Engine'!$B$7)-MAX($O264,'Engine'!$B$6)))/100/$H$8)</f>
        <v/>
      </c>
      <c r="K265" s="41">
        <f>IF($B265="","",$T265)</f>
        <v/>
      </c>
      <c r="L265" s="36" t="n"/>
      <c r="M265" s="41">
        <f>IF($L265="","",ROUND($S265-$L265,2))</f>
        <v/>
      </c>
      <c r="N265" s="44">
        <f>IF(AND($H$10&lt;&gt;"",$O265&lt;=$H$10),"LOCKED","OPEN")</f>
        <v/>
      </c>
      <c r="O265" s="25">
        <f>IF($B265="",$O264,$B265)</f>
        <v/>
      </c>
      <c r="S265" s="38">
        <f>$S264-IF($F265="",0,$F265)</f>
        <v/>
      </c>
      <c r="T265" s="38">
        <f>$T264+$J265</f>
        <v/>
      </c>
    </row>
    <row r="266">
      <c r="A266" s="39">
        <f>IF($F266="","",COUNT($F$14:$F266))</f>
        <v/>
      </c>
      <c r="B266" s="8" t="n"/>
      <c r="C266" s="6" t="n"/>
      <c r="D266" s="6" t="n"/>
      <c r="E266" s="40" t="n"/>
      <c r="F266" s="36" t="n"/>
      <c r="G266" s="41">
        <f>IF($B266="","",$S266)</f>
        <v/>
      </c>
      <c r="H266" s="42">
        <f>IF($I266&lt;=0,"",('Engine'!$B$8*MAX(0,MIN($O266,'Engine'!$B$3)-MAX($O265,'Engine'!$B$2))+'Engine'!$B$9*MAX(0,MIN($O266,'Engine'!$B$5)-MAX($O265,'Engine'!$B$4))+'Engine'!$B$10*MAX(0,MIN($O266,'Engine'!$B$7)-MAX($O265,'Engine'!$B$6)))/100/$H$8/$I266*$H$8*100)</f>
        <v/>
      </c>
      <c r="I266" s="43">
        <f>$O266-$O265</f>
        <v/>
      </c>
      <c r="J266" s="41">
        <f>IF($I266&lt;=0,0,$S265*('Engine'!$B$8*MAX(0,MIN($O266,'Engine'!$B$3)-MAX($O265,'Engine'!$B$2))+'Engine'!$B$9*MAX(0,MIN($O266,'Engine'!$B$5)-MAX($O265,'Engine'!$B$4))+'Engine'!$B$10*MAX(0,MIN($O266,'Engine'!$B$7)-MAX($O265,'Engine'!$B$6)))/100/$H$8)</f>
        <v/>
      </c>
      <c r="K266" s="41">
        <f>IF($B266="","",$T266)</f>
        <v/>
      </c>
      <c r="L266" s="36" t="n"/>
      <c r="M266" s="41">
        <f>IF($L266="","",ROUND($S266-$L266,2))</f>
        <v/>
      </c>
      <c r="N266" s="44">
        <f>IF(AND($H$10&lt;&gt;"",$O266&lt;=$H$10),"LOCKED","OPEN")</f>
        <v/>
      </c>
      <c r="O266" s="25">
        <f>IF($B266="",$O265,$B266)</f>
        <v/>
      </c>
      <c r="S266" s="38">
        <f>$S265-IF($F266="",0,$F266)</f>
        <v/>
      </c>
      <c r="T266" s="38">
        <f>$T265+$J266</f>
        <v/>
      </c>
    </row>
    <row r="267">
      <c r="A267" s="39">
        <f>IF($F267="","",COUNT($F$14:$F267))</f>
        <v/>
      </c>
      <c r="B267" s="8" t="n"/>
      <c r="C267" s="6" t="n"/>
      <c r="D267" s="6" t="n"/>
      <c r="E267" s="40" t="n"/>
      <c r="F267" s="36" t="n"/>
      <c r="G267" s="41">
        <f>IF($B267="","",$S267)</f>
        <v/>
      </c>
      <c r="H267" s="42">
        <f>IF($I267&lt;=0,"",('Engine'!$B$8*MAX(0,MIN($O267,'Engine'!$B$3)-MAX($O266,'Engine'!$B$2))+'Engine'!$B$9*MAX(0,MIN($O267,'Engine'!$B$5)-MAX($O266,'Engine'!$B$4))+'Engine'!$B$10*MAX(0,MIN($O267,'Engine'!$B$7)-MAX($O266,'Engine'!$B$6)))/100/$H$8/$I267*$H$8*100)</f>
        <v/>
      </c>
      <c r="I267" s="43">
        <f>$O267-$O266</f>
        <v/>
      </c>
      <c r="J267" s="41">
        <f>IF($I267&lt;=0,0,$S266*('Engine'!$B$8*MAX(0,MIN($O267,'Engine'!$B$3)-MAX($O266,'Engine'!$B$2))+'Engine'!$B$9*MAX(0,MIN($O267,'Engine'!$B$5)-MAX($O266,'Engine'!$B$4))+'Engine'!$B$10*MAX(0,MIN($O267,'Engine'!$B$7)-MAX($O266,'Engine'!$B$6)))/100/$H$8)</f>
        <v/>
      </c>
      <c r="K267" s="41">
        <f>IF($B267="","",$T267)</f>
        <v/>
      </c>
      <c r="L267" s="36" t="n"/>
      <c r="M267" s="41">
        <f>IF($L267="","",ROUND($S267-$L267,2))</f>
        <v/>
      </c>
      <c r="N267" s="44">
        <f>IF(AND($H$10&lt;&gt;"",$O267&lt;=$H$10),"LOCKED","OPEN")</f>
        <v/>
      </c>
      <c r="O267" s="25">
        <f>IF($B267="",$O266,$B267)</f>
        <v/>
      </c>
      <c r="S267" s="38">
        <f>$S266-IF($F267="",0,$F267)</f>
        <v/>
      </c>
      <c r="T267" s="38">
        <f>$T266+$J267</f>
        <v/>
      </c>
    </row>
    <row r="268">
      <c r="A268" s="39">
        <f>IF($F268="","",COUNT($F$14:$F268))</f>
        <v/>
      </c>
      <c r="B268" s="8" t="n"/>
      <c r="C268" s="6" t="n"/>
      <c r="D268" s="6" t="n"/>
      <c r="E268" s="40" t="n"/>
      <c r="F268" s="36" t="n"/>
      <c r="G268" s="41">
        <f>IF($B268="","",$S268)</f>
        <v/>
      </c>
      <c r="H268" s="42">
        <f>IF($I268&lt;=0,"",('Engine'!$B$8*MAX(0,MIN($O268,'Engine'!$B$3)-MAX($O267,'Engine'!$B$2))+'Engine'!$B$9*MAX(0,MIN($O268,'Engine'!$B$5)-MAX($O267,'Engine'!$B$4))+'Engine'!$B$10*MAX(0,MIN($O268,'Engine'!$B$7)-MAX($O267,'Engine'!$B$6)))/100/$H$8/$I268*$H$8*100)</f>
        <v/>
      </c>
      <c r="I268" s="43">
        <f>$O268-$O267</f>
        <v/>
      </c>
      <c r="J268" s="41">
        <f>IF($I268&lt;=0,0,$S267*('Engine'!$B$8*MAX(0,MIN($O268,'Engine'!$B$3)-MAX($O267,'Engine'!$B$2))+'Engine'!$B$9*MAX(0,MIN($O268,'Engine'!$B$5)-MAX($O267,'Engine'!$B$4))+'Engine'!$B$10*MAX(0,MIN($O268,'Engine'!$B$7)-MAX($O267,'Engine'!$B$6)))/100/$H$8)</f>
        <v/>
      </c>
      <c r="K268" s="41">
        <f>IF($B268="","",$T268)</f>
        <v/>
      </c>
      <c r="L268" s="36" t="n"/>
      <c r="M268" s="41">
        <f>IF($L268="","",ROUND($S268-$L268,2))</f>
        <v/>
      </c>
      <c r="N268" s="44">
        <f>IF(AND($H$10&lt;&gt;"",$O268&lt;=$H$10),"LOCKED","OPEN")</f>
        <v/>
      </c>
      <c r="O268" s="25">
        <f>IF($B268="",$O267,$B268)</f>
        <v/>
      </c>
      <c r="S268" s="38">
        <f>$S267-IF($F268="",0,$F268)</f>
        <v/>
      </c>
      <c r="T268" s="38">
        <f>$T267+$J268</f>
        <v/>
      </c>
    </row>
    <row r="269">
      <c r="A269" s="39">
        <f>IF($F269="","",COUNT($F$14:$F269))</f>
        <v/>
      </c>
      <c r="B269" s="8" t="n"/>
      <c r="C269" s="6" t="n"/>
      <c r="D269" s="6" t="n"/>
      <c r="E269" s="40" t="n"/>
      <c r="F269" s="36" t="n"/>
      <c r="G269" s="41">
        <f>IF($B269="","",$S269)</f>
        <v/>
      </c>
      <c r="H269" s="42">
        <f>IF($I269&lt;=0,"",('Engine'!$B$8*MAX(0,MIN($O269,'Engine'!$B$3)-MAX($O268,'Engine'!$B$2))+'Engine'!$B$9*MAX(0,MIN($O269,'Engine'!$B$5)-MAX($O268,'Engine'!$B$4))+'Engine'!$B$10*MAX(0,MIN($O269,'Engine'!$B$7)-MAX($O268,'Engine'!$B$6)))/100/$H$8/$I269*$H$8*100)</f>
        <v/>
      </c>
      <c r="I269" s="43">
        <f>$O269-$O268</f>
        <v/>
      </c>
      <c r="J269" s="41">
        <f>IF($I269&lt;=0,0,$S268*('Engine'!$B$8*MAX(0,MIN($O269,'Engine'!$B$3)-MAX($O268,'Engine'!$B$2))+'Engine'!$B$9*MAX(0,MIN($O269,'Engine'!$B$5)-MAX($O268,'Engine'!$B$4))+'Engine'!$B$10*MAX(0,MIN($O269,'Engine'!$B$7)-MAX($O268,'Engine'!$B$6)))/100/$H$8)</f>
        <v/>
      </c>
      <c r="K269" s="41">
        <f>IF($B269="","",$T269)</f>
        <v/>
      </c>
      <c r="L269" s="36" t="n"/>
      <c r="M269" s="41">
        <f>IF($L269="","",ROUND($S269-$L269,2))</f>
        <v/>
      </c>
      <c r="N269" s="44">
        <f>IF(AND($H$10&lt;&gt;"",$O269&lt;=$H$10),"LOCKED","OPEN")</f>
        <v/>
      </c>
      <c r="O269" s="25">
        <f>IF($B269="",$O268,$B269)</f>
        <v/>
      </c>
      <c r="S269" s="38">
        <f>$S268-IF($F269="",0,$F269)</f>
        <v/>
      </c>
      <c r="T269" s="38">
        <f>$T268+$J269</f>
        <v/>
      </c>
    </row>
    <row r="270">
      <c r="A270" s="39">
        <f>IF($F270="","",COUNT($F$14:$F270))</f>
        <v/>
      </c>
      <c r="B270" s="8" t="n"/>
      <c r="C270" s="6" t="n"/>
      <c r="D270" s="6" t="n"/>
      <c r="E270" s="40" t="n"/>
      <c r="F270" s="36" t="n"/>
      <c r="G270" s="41">
        <f>IF($B270="","",$S270)</f>
        <v/>
      </c>
      <c r="H270" s="42">
        <f>IF($I270&lt;=0,"",('Engine'!$B$8*MAX(0,MIN($O270,'Engine'!$B$3)-MAX($O269,'Engine'!$B$2))+'Engine'!$B$9*MAX(0,MIN($O270,'Engine'!$B$5)-MAX($O269,'Engine'!$B$4))+'Engine'!$B$10*MAX(0,MIN($O270,'Engine'!$B$7)-MAX($O269,'Engine'!$B$6)))/100/$H$8/$I270*$H$8*100)</f>
        <v/>
      </c>
      <c r="I270" s="43">
        <f>$O270-$O269</f>
        <v/>
      </c>
      <c r="J270" s="41">
        <f>IF($I270&lt;=0,0,$S269*('Engine'!$B$8*MAX(0,MIN($O270,'Engine'!$B$3)-MAX($O269,'Engine'!$B$2))+'Engine'!$B$9*MAX(0,MIN($O270,'Engine'!$B$5)-MAX($O269,'Engine'!$B$4))+'Engine'!$B$10*MAX(0,MIN($O270,'Engine'!$B$7)-MAX($O269,'Engine'!$B$6)))/100/$H$8)</f>
        <v/>
      </c>
      <c r="K270" s="41">
        <f>IF($B270="","",$T270)</f>
        <v/>
      </c>
      <c r="L270" s="36" t="n"/>
      <c r="M270" s="41">
        <f>IF($L270="","",ROUND($S270-$L270,2))</f>
        <v/>
      </c>
      <c r="N270" s="44">
        <f>IF(AND($H$10&lt;&gt;"",$O270&lt;=$H$10),"LOCKED","OPEN")</f>
        <v/>
      </c>
      <c r="O270" s="25">
        <f>IF($B270="",$O269,$B270)</f>
        <v/>
      </c>
      <c r="S270" s="38">
        <f>$S269-IF($F270="",0,$F270)</f>
        <v/>
      </c>
      <c r="T270" s="38">
        <f>$T269+$J270</f>
        <v/>
      </c>
    </row>
    <row r="271">
      <c r="A271" s="39">
        <f>IF($F271="","",COUNT($F$14:$F271))</f>
        <v/>
      </c>
      <c r="B271" s="8" t="n"/>
      <c r="C271" s="6" t="n"/>
      <c r="D271" s="6" t="n"/>
      <c r="E271" s="40" t="n"/>
      <c r="F271" s="36" t="n"/>
      <c r="G271" s="41">
        <f>IF($B271="","",$S271)</f>
        <v/>
      </c>
      <c r="H271" s="42">
        <f>IF($I271&lt;=0,"",('Engine'!$B$8*MAX(0,MIN($O271,'Engine'!$B$3)-MAX($O270,'Engine'!$B$2))+'Engine'!$B$9*MAX(0,MIN($O271,'Engine'!$B$5)-MAX($O270,'Engine'!$B$4))+'Engine'!$B$10*MAX(0,MIN($O271,'Engine'!$B$7)-MAX($O270,'Engine'!$B$6)))/100/$H$8/$I271*$H$8*100)</f>
        <v/>
      </c>
      <c r="I271" s="43">
        <f>$O271-$O270</f>
        <v/>
      </c>
      <c r="J271" s="41">
        <f>IF($I271&lt;=0,0,$S270*('Engine'!$B$8*MAX(0,MIN($O271,'Engine'!$B$3)-MAX($O270,'Engine'!$B$2))+'Engine'!$B$9*MAX(0,MIN($O271,'Engine'!$B$5)-MAX($O270,'Engine'!$B$4))+'Engine'!$B$10*MAX(0,MIN($O271,'Engine'!$B$7)-MAX($O270,'Engine'!$B$6)))/100/$H$8)</f>
        <v/>
      </c>
      <c r="K271" s="41">
        <f>IF($B271="","",$T271)</f>
        <v/>
      </c>
      <c r="L271" s="36" t="n"/>
      <c r="M271" s="41">
        <f>IF($L271="","",ROUND($S271-$L271,2))</f>
        <v/>
      </c>
      <c r="N271" s="44">
        <f>IF(AND($H$10&lt;&gt;"",$O271&lt;=$H$10),"LOCKED","OPEN")</f>
        <v/>
      </c>
      <c r="O271" s="25">
        <f>IF($B271="",$O270,$B271)</f>
        <v/>
      </c>
      <c r="S271" s="38">
        <f>$S270-IF($F271="",0,$F271)</f>
        <v/>
      </c>
      <c r="T271" s="38">
        <f>$T270+$J271</f>
        <v/>
      </c>
    </row>
    <row r="272">
      <c r="A272" s="39">
        <f>IF($F272="","",COUNT($F$14:$F272))</f>
        <v/>
      </c>
      <c r="B272" s="8" t="n"/>
      <c r="C272" s="6" t="n"/>
      <c r="D272" s="6" t="n"/>
      <c r="E272" s="40" t="n"/>
      <c r="F272" s="36" t="n"/>
      <c r="G272" s="41">
        <f>IF($B272="","",$S272)</f>
        <v/>
      </c>
      <c r="H272" s="42">
        <f>IF($I272&lt;=0,"",('Engine'!$B$8*MAX(0,MIN($O272,'Engine'!$B$3)-MAX($O271,'Engine'!$B$2))+'Engine'!$B$9*MAX(0,MIN($O272,'Engine'!$B$5)-MAX($O271,'Engine'!$B$4))+'Engine'!$B$10*MAX(0,MIN($O272,'Engine'!$B$7)-MAX($O271,'Engine'!$B$6)))/100/$H$8/$I272*$H$8*100)</f>
        <v/>
      </c>
      <c r="I272" s="43">
        <f>$O272-$O271</f>
        <v/>
      </c>
      <c r="J272" s="41">
        <f>IF($I272&lt;=0,0,$S271*('Engine'!$B$8*MAX(0,MIN($O272,'Engine'!$B$3)-MAX($O271,'Engine'!$B$2))+'Engine'!$B$9*MAX(0,MIN($O272,'Engine'!$B$5)-MAX($O271,'Engine'!$B$4))+'Engine'!$B$10*MAX(0,MIN($O272,'Engine'!$B$7)-MAX($O271,'Engine'!$B$6)))/100/$H$8)</f>
        <v/>
      </c>
      <c r="K272" s="41">
        <f>IF($B272="","",$T272)</f>
        <v/>
      </c>
      <c r="L272" s="36" t="n"/>
      <c r="M272" s="41">
        <f>IF($L272="","",ROUND($S272-$L272,2))</f>
        <v/>
      </c>
      <c r="N272" s="44">
        <f>IF(AND($H$10&lt;&gt;"",$O272&lt;=$H$10),"LOCKED","OPEN")</f>
        <v/>
      </c>
      <c r="O272" s="25">
        <f>IF($B272="",$O271,$B272)</f>
        <v/>
      </c>
      <c r="S272" s="38">
        <f>$S271-IF($F272="",0,$F272)</f>
        <v/>
      </c>
      <c r="T272" s="38">
        <f>$T271+$J272</f>
        <v/>
      </c>
    </row>
    <row r="273">
      <c r="A273" s="45" t="inlineStr">
        <is>
          <t>INT</t>
        </is>
      </c>
      <c r="B273" s="46">
        <f>$Q$261</f>
        <v/>
      </c>
      <c r="C273" s="47" t="n"/>
      <c r="D273" s="48">
        <f>"Interest for the quarter debited &amp; capitalised   ·   rate(s) applied :  "&amp;$R$261</f>
        <v/>
      </c>
      <c r="E273" s="49">
        <f>ROUND($T272+$J273,2)</f>
        <v/>
      </c>
      <c r="F273" s="50" t="n"/>
      <c r="G273" s="49">
        <f>$S273</f>
        <v/>
      </c>
      <c r="H273" s="51">
        <f>IF($I273&lt;=0,"",('Engine'!$B$8*MAX(0,MIN($O273,'Engine'!$B$3)-MAX($O272,'Engine'!$B$2))+'Engine'!$B$9*MAX(0,MIN($O273,'Engine'!$B$5)-MAX($O272,'Engine'!$B$4))+'Engine'!$B$10*MAX(0,MIN($O273,'Engine'!$B$7)-MAX($O272,'Engine'!$B$6)))/100/$H$8/$I273*$H$8*100)</f>
        <v/>
      </c>
      <c r="I273" s="52">
        <f>$O273-$O272</f>
        <v/>
      </c>
      <c r="J273" s="53">
        <f>IF($I273&lt;=0,0,$S272*('Engine'!$B$8*MAX(0,MIN($O273,'Engine'!$B$3)-MAX($O272,'Engine'!$B$2))+'Engine'!$B$9*MAX(0,MIN($O273,'Engine'!$B$5)-MAX($O272,'Engine'!$B$4))+'Engine'!$B$10*MAX(0,MIN($O273,'Engine'!$B$7)-MAX($O272,'Engine'!$B$6)))/100/$H$8)</f>
        <v/>
      </c>
      <c r="K273" s="53" t="n">
        <v>0</v>
      </c>
      <c r="L273" s="36" t="n"/>
      <c r="M273" s="53">
        <f>IF($L273="","",ROUND($S273-$L273,2))</f>
        <v/>
      </c>
      <c r="N273" s="54">
        <f>IF(AND($H$10&lt;&gt;"",$O273&lt;=$H$10),"LOCKED","OPEN")</f>
        <v/>
      </c>
      <c r="O273" s="25">
        <f>$Q$261</f>
        <v/>
      </c>
      <c r="S273" s="38">
        <f>$S272+$E273</f>
        <v/>
      </c>
      <c r="T273" s="38" t="n">
        <v>0</v>
      </c>
    </row>
    <row r="274" ht="18" customHeight="1">
      <c r="A274" s="24">
        <f>IF($P$274=0,"QUARTER 21          –  enter the Balance B/F date above to activate this quarter  –","QUARTER 21          "&amp;TEXT($P$274,"DD-MM-YYYY")&amp;"   to   "&amp;TEXT($Q$274,"DD-MM-YYYY")&amp;"          "&amp;IF(AND($H$10&lt;&gt;"",$Q$274&lt;=$H$10),"■ LOCKED – reconciled, no entry allowed","▷ OPEN for entry")&amp;"          RATE(S) APPLIED :  "&amp;$R$274)</f>
        <v/>
      </c>
      <c r="O274" s="25">
        <f>'Engine'!$E$22</f>
        <v/>
      </c>
      <c r="P274" s="25">
        <f>'Engine'!$E$22</f>
        <v/>
      </c>
      <c r="Q274" s="25">
        <f>'Engine'!$F$22</f>
        <v/>
      </c>
      <c r="R274" s="26">
        <f>'Engine'!$G$22</f>
        <v/>
      </c>
    </row>
    <row r="275">
      <c r="A275" s="27" t="inlineStr">
        <is>
          <t>B/F</t>
        </is>
      </c>
      <c r="B275" s="28">
        <f>$P$274</f>
        <v/>
      </c>
      <c r="C275" s="29" t="n"/>
      <c r="D275" s="30">
        <f>"Balance carried forward from quarter 20 – interest capitalised"</f>
        <v/>
      </c>
      <c r="E275" s="31" t="n"/>
      <c r="F275" s="31" t="n"/>
      <c r="G275" s="32">
        <f>$S$275</f>
        <v/>
      </c>
      <c r="H275" s="33" t="n"/>
      <c r="I275" s="34">
        <f>$O$275-$O$273</f>
        <v/>
      </c>
      <c r="J275" s="35" t="n">
        <v>0</v>
      </c>
      <c r="K275" s="35" t="n">
        <v>0</v>
      </c>
      <c r="L275" s="36" t="n"/>
      <c r="M275" s="35">
        <f>IF($L$275="","",ROUND($S$275-$L$275,2))</f>
        <v/>
      </c>
      <c r="N275" s="37">
        <f>IF(AND($H$10&lt;&gt;"",$O$275&lt;=$H$10),"LOCKED","OPEN")</f>
        <v/>
      </c>
      <c r="O275" s="25">
        <f>$P$274</f>
        <v/>
      </c>
      <c r="S275" s="38">
        <f>$S$273</f>
        <v/>
      </c>
      <c r="T275" s="38" t="n">
        <v>0</v>
      </c>
    </row>
    <row r="276">
      <c r="A276" s="39">
        <f>IF($F276="","",COUNT($F$14:$F276))</f>
        <v/>
      </c>
      <c r="B276" s="8" t="n"/>
      <c r="C276" s="6" t="n"/>
      <c r="D276" s="6" t="n"/>
      <c r="E276" s="40" t="n"/>
      <c r="F276" s="36" t="n"/>
      <c r="G276" s="41">
        <f>IF($B276="","",$S276)</f>
        <v/>
      </c>
      <c r="H276" s="42">
        <f>IF($I276&lt;=0,"",('Engine'!$B$8*MAX(0,MIN($O276,'Engine'!$B$3)-MAX($O275,'Engine'!$B$2))+'Engine'!$B$9*MAX(0,MIN($O276,'Engine'!$B$5)-MAX($O275,'Engine'!$B$4))+'Engine'!$B$10*MAX(0,MIN($O276,'Engine'!$B$7)-MAX($O275,'Engine'!$B$6)))/100/$H$8/$I276*$H$8*100)</f>
        <v/>
      </c>
      <c r="I276" s="43">
        <f>$O276-$O275</f>
        <v/>
      </c>
      <c r="J276" s="41">
        <f>IF($I276&lt;=0,0,$S275*('Engine'!$B$8*MAX(0,MIN($O276,'Engine'!$B$3)-MAX($O275,'Engine'!$B$2))+'Engine'!$B$9*MAX(0,MIN($O276,'Engine'!$B$5)-MAX($O275,'Engine'!$B$4))+'Engine'!$B$10*MAX(0,MIN($O276,'Engine'!$B$7)-MAX($O275,'Engine'!$B$6)))/100/$H$8)</f>
        <v/>
      </c>
      <c r="K276" s="41">
        <f>IF($B276="","",$T276)</f>
        <v/>
      </c>
      <c r="L276" s="36" t="n"/>
      <c r="M276" s="41">
        <f>IF($L276="","",ROUND($S276-$L276,2))</f>
        <v/>
      </c>
      <c r="N276" s="44">
        <f>IF(AND($H$10&lt;&gt;"",$O276&lt;=$H$10),"LOCKED","OPEN")</f>
        <v/>
      </c>
      <c r="O276" s="25">
        <f>IF($B276="",$O275,$B276)</f>
        <v/>
      </c>
      <c r="S276" s="38">
        <f>$S275-IF($F276="",0,$F276)</f>
        <v/>
      </c>
      <c r="T276" s="38">
        <f>$T275+$J276</f>
        <v/>
      </c>
    </row>
    <row r="277">
      <c r="A277" s="39">
        <f>IF($F277="","",COUNT($F$14:$F277))</f>
        <v/>
      </c>
      <c r="B277" s="8" t="n"/>
      <c r="C277" s="6" t="n"/>
      <c r="D277" s="6" t="n"/>
      <c r="E277" s="40" t="n"/>
      <c r="F277" s="36" t="n"/>
      <c r="G277" s="41">
        <f>IF($B277="","",$S277)</f>
        <v/>
      </c>
      <c r="H277" s="42">
        <f>IF($I277&lt;=0,"",('Engine'!$B$8*MAX(0,MIN($O277,'Engine'!$B$3)-MAX($O276,'Engine'!$B$2))+'Engine'!$B$9*MAX(0,MIN($O277,'Engine'!$B$5)-MAX($O276,'Engine'!$B$4))+'Engine'!$B$10*MAX(0,MIN($O277,'Engine'!$B$7)-MAX($O276,'Engine'!$B$6)))/100/$H$8/$I277*$H$8*100)</f>
        <v/>
      </c>
      <c r="I277" s="43">
        <f>$O277-$O276</f>
        <v/>
      </c>
      <c r="J277" s="41">
        <f>IF($I277&lt;=0,0,$S276*('Engine'!$B$8*MAX(0,MIN($O277,'Engine'!$B$3)-MAX($O276,'Engine'!$B$2))+'Engine'!$B$9*MAX(0,MIN($O277,'Engine'!$B$5)-MAX($O276,'Engine'!$B$4))+'Engine'!$B$10*MAX(0,MIN($O277,'Engine'!$B$7)-MAX($O276,'Engine'!$B$6)))/100/$H$8)</f>
        <v/>
      </c>
      <c r="K277" s="41">
        <f>IF($B277="","",$T277)</f>
        <v/>
      </c>
      <c r="L277" s="36" t="n"/>
      <c r="M277" s="41">
        <f>IF($L277="","",ROUND($S277-$L277,2))</f>
        <v/>
      </c>
      <c r="N277" s="44">
        <f>IF(AND($H$10&lt;&gt;"",$O277&lt;=$H$10),"LOCKED","OPEN")</f>
        <v/>
      </c>
      <c r="O277" s="25">
        <f>IF($B277="",$O276,$B277)</f>
        <v/>
      </c>
      <c r="S277" s="38">
        <f>$S276-IF($F277="",0,$F277)</f>
        <v/>
      </c>
      <c r="T277" s="38">
        <f>$T276+$J277</f>
        <v/>
      </c>
    </row>
    <row r="278">
      <c r="A278" s="39">
        <f>IF($F278="","",COUNT($F$14:$F278))</f>
        <v/>
      </c>
      <c r="B278" s="8" t="n"/>
      <c r="C278" s="6" t="n"/>
      <c r="D278" s="6" t="n"/>
      <c r="E278" s="40" t="n"/>
      <c r="F278" s="36" t="n"/>
      <c r="G278" s="41">
        <f>IF($B278="","",$S278)</f>
        <v/>
      </c>
      <c r="H278" s="42">
        <f>IF($I278&lt;=0,"",('Engine'!$B$8*MAX(0,MIN($O278,'Engine'!$B$3)-MAX($O277,'Engine'!$B$2))+'Engine'!$B$9*MAX(0,MIN($O278,'Engine'!$B$5)-MAX($O277,'Engine'!$B$4))+'Engine'!$B$10*MAX(0,MIN($O278,'Engine'!$B$7)-MAX($O277,'Engine'!$B$6)))/100/$H$8/$I278*$H$8*100)</f>
        <v/>
      </c>
      <c r="I278" s="43">
        <f>$O278-$O277</f>
        <v/>
      </c>
      <c r="J278" s="41">
        <f>IF($I278&lt;=0,0,$S277*('Engine'!$B$8*MAX(0,MIN($O278,'Engine'!$B$3)-MAX($O277,'Engine'!$B$2))+'Engine'!$B$9*MAX(0,MIN($O278,'Engine'!$B$5)-MAX($O277,'Engine'!$B$4))+'Engine'!$B$10*MAX(0,MIN($O278,'Engine'!$B$7)-MAX($O277,'Engine'!$B$6)))/100/$H$8)</f>
        <v/>
      </c>
      <c r="K278" s="41">
        <f>IF($B278="","",$T278)</f>
        <v/>
      </c>
      <c r="L278" s="36" t="n"/>
      <c r="M278" s="41">
        <f>IF($L278="","",ROUND($S278-$L278,2))</f>
        <v/>
      </c>
      <c r="N278" s="44">
        <f>IF(AND($H$10&lt;&gt;"",$O278&lt;=$H$10),"LOCKED","OPEN")</f>
        <v/>
      </c>
      <c r="O278" s="25">
        <f>IF($B278="",$O277,$B278)</f>
        <v/>
      </c>
      <c r="S278" s="38">
        <f>$S277-IF($F278="",0,$F278)</f>
        <v/>
      </c>
      <c r="T278" s="38">
        <f>$T277+$J278</f>
        <v/>
      </c>
    </row>
    <row r="279">
      <c r="A279" s="39">
        <f>IF($F279="","",COUNT($F$14:$F279))</f>
        <v/>
      </c>
      <c r="B279" s="8" t="n"/>
      <c r="C279" s="6" t="n"/>
      <c r="D279" s="6" t="n"/>
      <c r="E279" s="40" t="n"/>
      <c r="F279" s="36" t="n"/>
      <c r="G279" s="41">
        <f>IF($B279="","",$S279)</f>
        <v/>
      </c>
      <c r="H279" s="42">
        <f>IF($I279&lt;=0,"",('Engine'!$B$8*MAX(0,MIN($O279,'Engine'!$B$3)-MAX($O278,'Engine'!$B$2))+'Engine'!$B$9*MAX(0,MIN($O279,'Engine'!$B$5)-MAX($O278,'Engine'!$B$4))+'Engine'!$B$10*MAX(0,MIN($O279,'Engine'!$B$7)-MAX($O278,'Engine'!$B$6)))/100/$H$8/$I279*$H$8*100)</f>
        <v/>
      </c>
      <c r="I279" s="43">
        <f>$O279-$O278</f>
        <v/>
      </c>
      <c r="J279" s="41">
        <f>IF($I279&lt;=0,0,$S278*('Engine'!$B$8*MAX(0,MIN($O279,'Engine'!$B$3)-MAX($O278,'Engine'!$B$2))+'Engine'!$B$9*MAX(0,MIN($O279,'Engine'!$B$5)-MAX($O278,'Engine'!$B$4))+'Engine'!$B$10*MAX(0,MIN($O279,'Engine'!$B$7)-MAX($O278,'Engine'!$B$6)))/100/$H$8)</f>
        <v/>
      </c>
      <c r="K279" s="41">
        <f>IF($B279="","",$T279)</f>
        <v/>
      </c>
      <c r="L279" s="36" t="n"/>
      <c r="M279" s="41">
        <f>IF($L279="","",ROUND($S279-$L279,2))</f>
        <v/>
      </c>
      <c r="N279" s="44">
        <f>IF(AND($H$10&lt;&gt;"",$O279&lt;=$H$10),"LOCKED","OPEN")</f>
        <v/>
      </c>
      <c r="O279" s="25">
        <f>IF($B279="",$O278,$B279)</f>
        <v/>
      </c>
      <c r="S279" s="38">
        <f>$S278-IF($F279="",0,$F279)</f>
        <v/>
      </c>
      <c r="T279" s="38">
        <f>$T278+$J279</f>
        <v/>
      </c>
    </row>
    <row r="280">
      <c r="A280" s="39">
        <f>IF($F280="","",COUNT($F$14:$F280))</f>
        <v/>
      </c>
      <c r="B280" s="8" t="n"/>
      <c r="C280" s="6" t="n"/>
      <c r="D280" s="6" t="n"/>
      <c r="E280" s="40" t="n"/>
      <c r="F280" s="36" t="n"/>
      <c r="G280" s="41">
        <f>IF($B280="","",$S280)</f>
        <v/>
      </c>
      <c r="H280" s="42">
        <f>IF($I280&lt;=0,"",('Engine'!$B$8*MAX(0,MIN($O280,'Engine'!$B$3)-MAX($O279,'Engine'!$B$2))+'Engine'!$B$9*MAX(0,MIN($O280,'Engine'!$B$5)-MAX($O279,'Engine'!$B$4))+'Engine'!$B$10*MAX(0,MIN($O280,'Engine'!$B$7)-MAX($O279,'Engine'!$B$6)))/100/$H$8/$I280*$H$8*100)</f>
        <v/>
      </c>
      <c r="I280" s="43">
        <f>$O280-$O279</f>
        <v/>
      </c>
      <c r="J280" s="41">
        <f>IF($I280&lt;=0,0,$S279*('Engine'!$B$8*MAX(0,MIN($O280,'Engine'!$B$3)-MAX($O279,'Engine'!$B$2))+'Engine'!$B$9*MAX(0,MIN($O280,'Engine'!$B$5)-MAX($O279,'Engine'!$B$4))+'Engine'!$B$10*MAX(0,MIN($O280,'Engine'!$B$7)-MAX($O279,'Engine'!$B$6)))/100/$H$8)</f>
        <v/>
      </c>
      <c r="K280" s="41">
        <f>IF($B280="","",$T280)</f>
        <v/>
      </c>
      <c r="L280" s="36" t="n"/>
      <c r="M280" s="41">
        <f>IF($L280="","",ROUND($S280-$L280,2))</f>
        <v/>
      </c>
      <c r="N280" s="44">
        <f>IF(AND($H$10&lt;&gt;"",$O280&lt;=$H$10),"LOCKED","OPEN")</f>
        <v/>
      </c>
      <c r="O280" s="25">
        <f>IF($B280="",$O279,$B280)</f>
        <v/>
      </c>
      <c r="S280" s="38">
        <f>$S279-IF($F280="",0,$F280)</f>
        <v/>
      </c>
      <c r="T280" s="38">
        <f>$T279+$J280</f>
        <v/>
      </c>
    </row>
    <row r="281">
      <c r="A281" s="39">
        <f>IF($F281="","",COUNT($F$14:$F281))</f>
        <v/>
      </c>
      <c r="B281" s="8" t="n"/>
      <c r="C281" s="6" t="n"/>
      <c r="D281" s="6" t="n"/>
      <c r="E281" s="40" t="n"/>
      <c r="F281" s="36" t="n"/>
      <c r="G281" s="41">
        <f>IF($B281="","",$S281)</f>
        <v/>
      </c>
      <c r="H281" s="42">
        <f>IF($I281&lt;=0,"",('Engine'!$B$8*MAX(0,MIN($O281,'Engine'!$B$3)-MAX($O280,'Engine'!$B$2))+'Engine'!$B$9*MAX(0,MIN($O281,'Engine'!$B$5)-MAX($O280,'Engine'!$B$4))+'Engine'!$B$10*MAX(0,MIN($O281,'Engine'!$B$7)-MAX($O280,'Engine'!$B$6)))/100/$H$8/$I281*$H$8*100)</f>
        <v/>
      </c>
      <c r="I281" s="43">
        <f>$O281-$O280</f>
        <v/>
      </c>
      <c r="J281" s="41">
        <f>IF($I281&lt;=0,0,$S280*('Engine'!$B$8*MAX(0,MIN($O281,'Engine'!$B$3)-MAX($O280,'Engine'!$B$2))+'Engine'!$B$9*MAX(0,MIN($O281,'Engine'!$B$5)-MAX($O280,'Engine'!$B$4))+'Engine'!$B$10*MAX(0,MIN($O281,'Engine'!$B$7)-MAX($O280,'Engine'!$B$6)))/100/$H$8)</f>
        <v/>
      </c>
      <c r="K281" s="41">
        <f>IF($B281="","",$T281)</f>
        <v/>
      </c>
      <c r="L281" s="36" t="n"/>
      <c r="M281" s="41">
        <f>IF($L281="","",ROUND($S281-$L281,2))</f>
        <v/>
      </c>
      <c r="N281" s="44">
        <f>IF(AND($H$10&lt;&gt;"",$O281&lt;=$H$10),"LOCKED","OPEN")</f>
        <v/>
      </c>
      <c r="O281" s="25">
        <f>IF($B281="",$O280,$B281)</f>
        <v/>
      </c>
      <c r="S281" s="38">
        <f>$S280-IF($F281="",0,$F281)</f>
        <v/>
      </c>
      <c r="T281" s="38">
        <f>$T280+$J281</f>
        <v/>
      </c>
    </row>
    <row r="282">
      <c r="A282" s="39">
        <f>IF($F282="","",COUNT($F$14:$F282))</f>
        <v/>
      </c>
      <c r="B282" s="8" t="n"/>
      <c r="C282" s="6" t="n"/>
      <c r="D282" s="6" t="n"/>
      <c r="E282" s="40" t="n"/>
      <c r="F282" s="36" t="n"/>
      <c r="G282" s="41">
        <f>IF($B282="","",$S282)</f>
        <v/>
      </c>
      <c r="H282" s="42">
        <f>IF($I282&lt;=0,"",('Engine'!$B$8*MAX(0,MIN($O282,'Engine'!$B$3)-MAX($O281,'Engine'!$B$2))+'Engine'!$B$9*MAX(0,MIN($O282,'Engine'!$B$5)-MAX($O281,'Engine'!$B$4))+'Engine'!$B$10*MAX(0,MIN($O282,'Engine'!$B$7)-MAX($O281,'Engine'!$B$6)))/100/$H$8/$I282*$H$8*100)</f>
        <v/>
      </c>
      <c r="I282" s="43">
        <f>$O282-$O281</f>
        <v/>
      </c>
      <c r="J282" s="41">
        <f>IF($I282&lt;=0,0,$S281*('Engine'!$B$8*MAX(0,MIN($O282,'Engine'!$B$3)-MAX($O281,'Engine'!$B$2))+'Engine'!$B$9*MAX(0,MIN($O282,'Engine'!$B$5)-MAX($O281,'Engine'!$B$4))+'Engine'!$B$10*MAX(0,MIN($O282,'Engine'!$B$7)-MAX($O281,'Engine'!$B$6)))/100/$H$8)</f>
        <v/>
      </c>
      <c r="K282" s="41">
        <f>IF($B282="","",$T282)</f>
        <v/>
      </c>
      <c r="L282" s="36" t="n"/>
      <c r="M282" s="41">
        <f>IF($L282="","",ROUND($S282-$L282,2))</f>
        <v/>
      </c>
      <c r="N282" s="44">
        <f>IF(AND($H$10&lt;&gt;"",$O282&lt;=$H$10),"LOCKED","OPEN")</f>
        <v/>
      </c>
      <c r="O282" s="25">
        <f>IF($B282="",$O281,$B282)</f>
        <v/>
      </c>
      <c r="S282" s="38">
        <f>$S281-IF($F282="",0,$F282)</f>
        <v/>
      </c>
      <c r="T282" s="38">
        <f>$T281+$J282</f>
        <v/>
      </c>
    </row>
    <row r="283">
      <c r="A283" s="39">
        <f>IF($F283="","",COUNT($F$14:$F283))</f>
        <v/>
      </c>
      <c r="B283" s="8" t="n"/>
      <c r="C283" s="6" t="n"/>
      <c r="D283" s="6" t="n"/>
      <c r="E283" s="40" t="n"/>
      <c r="F283" s="36" t="n"/>
      <c r="G283" s="41">
        <f>IF($B283="","",$S283)</f>
        <v/>
      </c>
      <c r="H283" s="42">
        <f>IF($I283&lt;=0,"",('Engine'!$B$8*MAX(0,MIN($O283,'Engine'!$B$3)-MAX($O282,'Engine'!$B$2))+'Engine'!$B$9*MAX(0,MIN($O283,'Engine'!$B$5)-MAX($O282,'Engine'!$B$4))+'Engine'!$B$10*MAX(0,MIN($O283,'Engine'!$B$7)-MAX($O282,'Engine'!$B$6)))/100/$H$8/$I283*$H$8*100)</f>
        <v/>
      </c>
      <c r="I283" s="43">
        <f>$O283-$O282</f>
        <v/>
      </c>
      <c r="J283" s="41">
        <f>IF($I283&lt;=0,0,$S282*('Engine'!$B$8*MAX(0,MIN($O283,'Engine'!$B$3)-MAX($O282,'Engine'!$B$2))+'Engine'!$B$9*MAX(0,MIN($O283,'Engine'!$B$5)-MAX($O282,'Engine'!$B$4))+'Engine'!$B$10*MAX(0,MIN($O283,'Engine'!$B$7)-MAX($O282,'Engine'!$B$6)))/100/$H$8)</f>
        <v/>
      </c>
      <c r="K283" s="41">
        <f>IF($B283="","",$T283)</f>
        <v/>
      </c>
      <c r="L283" s="36" t="n"/>
      <c r="M283" s="41">
        <f>IF($L283="","",ROUND($S283-$L283,2))</f>
        <v/>
      </c>
      <c r="N283" s="44">
        <f>IF(AND($H$10&lt;&gt;"",$O283&lt;=$H$10),"LOCKED","OPEN")</f>
        <v/>
      </c>
      <c r="O283" s="25">
        <f>IF($B283="",$O282,$B283)</f>
        <v/>
      </c>
      <c r="S283" s="38">
        <f>$S282-IF($F283="",0,$F283)</f>
        <v/>
      </c>
      <c r="T283" s="38">
        <f>$T282+$J283</f>
        <v/>
      </c>
    </row>
    <row r="284">
      <c r="A284" s="39">
        <f>IF($F284="","",COUNT($F$14:$F284))</f>
        <v/>
      </c>
      <c r="B284" s="8" t="n"/>
      <c r="C284" s="6" t="n"/>
      <c r="D284" s="6" t="n"/>
      <c r="E284" s="40" t="n"/>
      <c r="F284" s="36" t="n"/>
      <c r="G284" s="41">
        <f>IF($B284="","",$S284)</f>
        <v/>
      </c>
      <c r="H284" s="42">
        <f>IF($I284&lt;=0,"",('Engine'!$B$8*MAX(0,MIN($O284,'Engine'!$B$3)-MAX($O283,'Engine'!$B$2))+'Engine'!$B$9*MAX(0,MIN($O284,'Engine'!$B$5)-MAX($O283,'Engine'!$B$4))+'Engine'!$B$10*MAX(0,MIN($O284,'Engine'!$B$7)-MAX($O283,'Engine'!$B$6)))/100/$H$8/$I284*$H$8*100)</f>
        <v/>
      </c>
      <c r="I284" s="43">
        <f>$O284-$O283</f>
        <v/>
      </c>
      <c r="J284" s="41">
        <f>IF($I284&lt;=0,0,$S283*('Engine'!$B$8*MAX(0,MIN($O284,'Engine'!$B$3)-MAX($O283,'Engine'!$B$2))+'Engine'!$B$9*MAX(0,MIN($O284,'Engine'!$B$5)-MAX($O283,'Engine'!$B$4))+'Engine'!$B$10*MAX(0,MIN($O284,'Engine'!$B$7)-MAX($O283,'Engine'!$B$6)))/100/$H$8)</f>
        <v/>
      </c>
      <c r="K284" s="41">
        <f>IF($B284="","",$T284)</f>
        <v/>
      </c>
      <c r="L284" s="36" t="n"/>
      <c r="M284" s="41">
        <f>IF($L284="","",ROUND($S284-$L284,2))</f>
        <v/>
      </c>
      <c r="N284" s="44">
        <f>IF(AND($H$10&lt;&gt;"",$O284&lt;=$H$10),"LOCKED","OPEN")</f>
        <v/>
      </c>
      <c r="O284" s="25">
        <f>IF($B284="",$O283,$B284)</f>
        <v/>
      </c>
      <c r="S284" s="38">
        <f>$S283-IF($F284="",0,$F284)</f>
        <v/>
      </c>
      <c r="T284" s="38">
        <f>$T283+$J284</f>
        <v/>
      </c>
    </row>
    <row r="285">
      <c r="A285" s="39">
        <f>IF($F285="","",COUNT($F$14:$F285))</f>
        <v/>
      </c>
      <c r="B285" s="8" t="n"/>
      <c r="C285" s="6" t="n"/>
      <c r="D285" s="6" t="n"/>
      <c r="E285" s="40" t="n"/>
      <c r="F285" s="36" t="n"/>
      <c r="G285" s="41">
        <f>IF($B285="","",$S285)</f>
        <v/>
      </c>
      <c r="H285" s="42">
        <f>IF($I285&lt;=0,"",('Engine'!$B$8*MAX(0,MIN($O285,'Engine'!$B$3)-MAX($O284,'Engine'!$B$2))+'Engine'!$B$9*MAX(0,MIN($O285,'Engine'!$B$5)-MAX($O284,'Engine'!$B$4))+'Engine'!$B$10*MAX(0,MIN($O285,'Engine'!$B$7)-MAX($O284,'Engine'!$B$6)))/100/$H$8/$I285*$H$8*100)</f>
        <v/>
      </c>
      <c r="I285" s="43">
        <f>$O285-$O284</f>
        <v/>
      </c>
      <c r="J285" s="41">
        <f>IF($I285&lt;=0,0,$S284*('Engine'!$B$8*MAX(0,MIN($O285,'Engine'!$B$3)-MAX($O284,'Engine'!$B$2))+'Engine'!$B$9*MAX(0,MIN($O285,'Engine'!$B$5)-MAX($O284,'Engine'!$B$4))+'Engine'!$B$10*MAX(0,MIN($O285,'Engine'!$B$7)-MAX($O284,'Engine'!$B$6)))/100/$H$8)</f>
        <v/>
      </c>
      <c r="K285" s="41">
        <f>IF($B285="","",$T285)</f>
        <v/>
      </c>
      <c r="L285" s="36" t="n"/>
      <c r="M285" s="41">
        <f>IF($L285="","",ROUND($S285-$L285,2))</f>
        <v/>
      </c>
      <c r="N285" s="44">
        <f>IF(AND($H$10&lt;&gt;"",$O285&lt;=$H$10),"LOCKED","OPEN")</f>
        <v/>
      </c>
      <c r="O285" s="25">
        <f>IF($B285="",$O284,$B285)</f>
        <v/>
      </c>
      <c r="S285" s="38">
        <f>$S284-IF($F285="",0,$F285)</f>
        <v/>
      </c>
      <c r="T285" s="38">
        <f>$T284+$J285</f>
        <v/>
      </c>
    </row>
    <row r="286">
      <c r="A286" s="45" t="inlineStr">
        <is>
          <t>INT</t>
        </is>
      </c>
      <c r="B286" s="46">
        <f>$Q$274</f>
        <v/>
      </c>
      <c r="C286" s="47" t="n"/>
      <c r="D286" s="48">
        <f>"Interest for the quarter debited &amp; capitalised   ·   rate(s) applied :  "&amp;$R$274</f>
        <v/>
      </c>
      <c r="E286" s="49">
        <f>ROUND($T285+$J286,2)</f>
        <v/>
      </c>
      <c r="F286" s="50" t="n"/>
      <c r="G286" s="49">
        <f>$S286</f>
        <v/>
      </c>
      <c r="H286" s="51">
        <f>IF($I286&lt;=0,"",('Engine'!$B$8*MAX(0,MIN($O286,'Engine'!$B$3)-MAX($O285,'Engine'!$B$2))+'Engine'!$B$9*MAX(0,MIN($O286,'Engine'!$B$5)-MAX($O285,'Engine'!$B$4))+'Engine'!$B$10*MAX(0,MIN($O286,'Engine'!$B$7)-MAX($O285,'Engine'!$B$6)))/100/$H$8/$I286*$H$8*100)</f>
        <v/>
      </c>
      <c r="I286" s="52">
        <f>$O286-$O285</f>
        <v/>
      </c>
      <c r="J286" s="53">
        <f>IF($I286&lt;=0,0,$S285*('Engine'!$B$8*MAX(0,MIN($O286,'Engine'!$B$3)-MAX($O285,'Engine'!$B$2))+'Engine'!$B$9*MAX(0,MIN($O286,'Engine'!$B$5)-MAX($O285,'Engine'!$B$4))+'Engine'!$B$10*MAX(0,MIN($O286,'Engine'!$B$7)-MAX($O285,'Engine'!$B$6)))/100/$H$8)</f>
        <v/>
      </c>
      <c r="K286" s="53" t="n">
        <v>0</v>
      </c>
      <c r="L286" s="36" t="n"/>
      <c r="M286" s="53">
        <f>IF($L286="","",ROUND($S286-$L286,2))</f>
        <v/>
      </c>
      <c r="N286" s="54">
        <f>IF(AND($H$10&lt;&gt;"",$O286&lt;=$H$10),"LOCKED","OPEN")</f>
        <v/>
      </c>
      <c r="O286" s="25">
        <f>$Q$274</f>
        <v/>
      </c>
      <c r="S286" s="38">
        <f>$S285+$E286</f>
        <v/>
      </c>
      <c r="T286" s="38" t="n">
        <v>0</v>
      </c>
    </row>
    <row r="287" ht="18" customHeight="1">
      <c r="A287" s="24">
        <f>IF($P$287=0,"QUARTER 22          –  enter the Balance B/F date above to activate this quarter  –","QUARTER 22          "&amp;TEXT($P$287,"DD-MM-YYYY")&amp;"   to   "&amp;TEXT($Q$287,"DD-MM-YYYY")&amp;"          "&amp;IF(AND($H$10&lt;&gt;"",$Q$287&lt;=$H$10),"■ LOCKED – reconciled, no entry allowed","▷ OPEN for entry")&amp;"          RATE(S) APPLIED :  "&amp;$R$287)</f>
        <v/>
      </c>
      <c r="O287" s="25">
        <f>'Engine'!$E$23</f>
        <v/>
      </c>
      <c r="P287" s="25">
        <f>'Engine'!$E$23</f>
        <v/>
      </c>
      <c r="Q287" s="25">
        <f>'Engine'!$F$23</f>
        <v/>
      </c>
      <c r="R287" s="26">
        <f>'Engine'!$G$23</f>
        <v/>
      </c>
    </row>
    <row r="288">
      <c r="A288" s="27" t="inlineStr">
        <is>
          <t>B/F</t>
        </is>
      </c>
      <c r="B288" s="28">
        <f>$P$287</f>
        <v/>
      </c>
      <c r="C288" s="29" t="n"/>
      <c r="D288" s="30">
        <f>"Balance carried forward from quarter 21 – interest capitalised"</f>
        <v/>
      </c>
      <c r="E288" s="31" t="n"/>
      <c r="F288" s="31" t="n"/>
      <c r="G288" s="32">
        <f>$S$288</f>
        <v/>
      </c>
      <c r="H288" s="33" t="n"/>
      <c r="I288" s="34">
        <f>$O$288-$O$286</f>
        <v/>
      </c>
      <c r="J288" s="35" t="n">
        <v>0</v>
      </c>
      <c r="K288" s="35" t="n">
        <v>0</v>
      </c>
      <c r="L288" s="36" t="n"/>
      <c r="M288" s="35">
        <f>IF($L$288="","",ROUND($S$288-$L$288,2))</f>
        <v/>
      </c>
      <c r="N288" s="37">
        <f>IF(AND($H$10&lt;&gt;"",$O$288&lt;=$H$10),"LOCKED","OPEN")</f>
        <v/>
      </c>
      <c r="O288" s="25">
        <f>$P$287</f>
        <v/>
      </c>
      <c r="S288" s="38">
        <f>$S$286</f>
        <v/>
      </c>
      <c r="T288" s="38" t="n">
        <v>0</v>
      </c>
    </row>
    <row r="289">
      <c r="A289" s="39">
        <f>IF($F289="","",COUNT($F$14:$F289))</f>
        <v/>
      </c>
      <c r="B289" s="8" t="n"/>
      <c r="C289" s="6" t="n"/>
      <c r="D289" s="6" t="n"/>
      <c r="E289" s="40" t="n"/>
      <c r="F289" s="36" t="n"/>
      <c r="G289" s="41">
        <f>IF($B289="","",$S289)</f>
        <v/>
      </c>
      <c r="H289" s="42">
        <f>IF($I289&lt;=0,"",('Engine'!$B$8*MAX(0,MIN($O289,'Engine'!$B$3)-MAX($O288,'Engine'!$B$2))+'Engine'!$B$9*MAX(0,MIN($O289,'Engine'!$B$5)-MAX($O288,'Engine'!$B$4))+'Engine'!$B$10*MAX(0,MIN($O289,'Engine'!$B$7)-MAX($O288,'Engine'!$B$6)))/100/$H$8/$I289*$H$8*100)</f>
        <v/>
      </c>
      <c r="I289" s="43">
        <f>$O289-$O288</f>
        <v/>
      </c>
      <c r="J289" s="41">
        <f>IF($I289&lt;=0,0,$S288*('Engine'!$B$8*MAX(0,MIN($O289,'Engine'!$B$3)-MAX($O288,'Engine'!$B$2))+'Engine'!$B$9*MAX(0,MIN($O289,'Engine'!$B$5)-MAX($O288,'Engine'!$B$4))+'Engine'!$B$10*MAX(0,MIN($O289,'Engine'!$B$7)-MAX($O288,'Engine'!$B$6)))/100/$H$8)</f>
        <v/>
      </c>
      <c r="K289" s="41">
        <f>IF($B289="","",$T289)</f>
        <v/>
      </c>
      <c r="L289" s="36" t="n"/>
      <c r="M289" s="41">
        <f>IF($L289="","",ROUND($S289-$L289,2))</f>
        <v/>
      </c>
      <c r="N289" s="44">
        <f>IF(AND($H$10&lt;&gt;"",$O289&lt;=$H$10),"LOCKED","OPEN")</f>
        <v/>
      </c>
      <c r="O289" s="25">
        <f>IF($B289="",$O288,$B289)</f>
        <v/>
      </c>
      <c r="S289" s="38">
        <f>$S288-IF($F289="",0,$F289)</f>
        <v/>
      </c>
      <c r="T289" s="38">
        <f>$T288+$J289</f>
        <v/>
      </c>
    </row>
    <row r="290">
      <c r="A290" s="39">
        <f>IF($F290="","",COUNT($F$14:$F290))</f>
        <v/>
      </c>
      <c r="B290" s="8" t="n"/>
      <c r="C290" s="6" t="n"/>
      <c r="D290" s="6" t="n"/>
      <c r="E290" s="40" t="n"/>
      <c r="F290" s="36" t="n"/>
      <c r="G290" s="41">
        <f>IF($B290="","",$S290)</f>
        <v/>
      </c>
      <c r="H290" s="42">
        <f>IF($I290&lt;=0,"",('Engine'!$B$8*MAX(0,MIN($O290,'Engine'!$B$3)-MAX($O289,'Engine'!$B$2))+'Engine'!$B$9*MAX(0,MIN($O290,'Engine'!$B$5)-MAX($O289,'Engine'!$B$4))+'Engine'!$B$10*MAX(0,MIN($O290,'Engine'!$B$7)-MAX($O289,'Engine'!$B$6)))/100/$H$8/$I290*$H$8*100)</f>
        <v/>
      </c>
      <c r="I290" s="43">
        <f>$O290-$O289</f>
        <v/>
      </c>
      <c r="J290" s="41">
        <f>IF($I290&lt;=0,0,$S289*('Engine'!$B$8*MAX(0,MIN($O290,'Engine'!$B$3)-MAX($O289,'Engine'!$B$2))+'Engine'!$B$9*MAX(0,MIN($O290,'Engine'!$B$5)-MAX($O289,'Engine'!$B$4))+'Engine'!$B$10*MAX(0,MIN($O290,'Engine'!$B$7)-MAX($O289,'Engine'!$B$6)))/100/$H$8)</f>
        <v/>
      </c>
      <c r="K290" s="41">
        <f>IF($B290="","",$T290)</f>
        <v/>
      </c>
      <c r="L290" s="36" t="n"/>
      <c r="M290" s="41">
        <f>IF($L290="","",ROUND($S290-$L290,2))</f>
        <v/>
      </c>
      <c r="N290" s="44">
        <f>IF(AND($H$10&lt;&gt;"",$O290&lt;=$H$10),"LOCKED","OPEN")</f>
        <v/>
      </c>
      <c r="O290" s="25">
        <f>IF($B290="",$O289,$B290)</f>
        <v/>
      </c>
      <c r="S290" s="38">
        <f>$S289-IF($F290="",0,$F290)</f>
        <v/>
      </c>
      <c r="T290" s="38">
        <f>$T289+$J290</f>
        <v/>
      </c>
    </row>
    <row r="291">
      <c r="A291" s="39">
        <f>IF($F291="","",COUNT($F$14:$F291))</f>
        <v/>
      </c>
      <c r="B291" s="8" t="n"/>
      <c r="C291" s="6" t="n"/>
      <c r="D291" s="6" t="n"/>
      <c r="E291" s="40" t="n"/>
      <c r="F291" s="36" t="n"/>
      <c r="G291" s="41">
        <f>IF($B291="","",$S291)</f>
        <v/>
      </c>
      <c r="H291" s="42">
        <f>IF($I291&lt;=0,"",('Engine'!$B$8*MAX(0,MIN($O291,'Engine'!$B$3)-MAX($O290,'Engine'!$B$2))+'Engine'!$B$9*MAX(0,MIN($O291,'Engine'!$B$5)-MAX($O290,'Engine'!$B$4))+'Engine'!$B$10*MAX(0,MIN($O291,'Engine'!$B$7)-MAX($O290,'Engine'!$B$6)))/100/$H$8/$I291*$H$8*100)</f>
        <v/>
      </c>
      <c r="I291" s="43">
        <f>$O291-$O290</f>
        <v/>
      </c>
      <c r="J291" s="41">
        <f>IF($I291&lt;=0,0,$S290*('Engine'!$B$8*MAX(0,MIN($O291,'Engine'!$B$3)-MAX($O290,'Engine'!$B$2))+'Engine'!$B$9*MAX(0,MIN($O291,'Engine'!$B$5)-MAX($O290,'Engine'!$B$4))+'Engine'!$B$10*MAX(0,MIN($O291,'Engine'!$B$7)-MAX($O290,'Engine'!$B$6)))/100/$H$8)</f>
        <v/>
      </c>
      <c r="K291" s="41">
        <f>IF($B291="","",$T291)</f>
        <v/>
      </c>
      <c r="L291" s="36" t="n"/>
      <c r="M291" s="41">
        <f>IF($L291="","",ROUND($S291-$L291,2))</f>
        <v/>
      </c>
      <c r="N291" s="44">
        <f>IF(AND($H$10&lt;&gt;"",$O291&lt;=$H$10),"LOCKED","OPEN")</f>
        <v/>
      </c>
      <c r="O291" s="25">
        <f>IF($B291="",$O290,$B291)</f>
        <v/>
      </c>
      <c r="S291" s="38">
        <f>$S290-IF($F291="",0,$F291)</f>
        <v/>
      </c>
      <c r="T291" s="38">
        <f>$T290+$J291</f>
        <v/>
      </c>
    </row>
    <row r="292">
      <c r="A292" s="39">
        <f>IF($F292="","",COUNT($F$14:$F292))</f>
        <v/>
      </c>
      <c r="B292" s="8" t="n"/>
      <c r="C292" s="6" t="n"/>
      <c r="D292" s="6" t="n"/>
      <c r="E292" s="40" t="n"/>
      <c r="F292" s="36" t="n"/>
      <c r="G292" s="41">
        <f>IF($B292="","",$S292)</f>
        <v/>
      </c>
      <c r="H292" s="42">
        <f>IF($I292&lt;=0,"",('Engine'!$B$8*MAX(0,MIN($O292,'Engine'!$B$3)-MAX($O291,'Engine'!$B$2))+'Engine'!$B$9*MAX(0,MIN($O292,'Engine'!$B$5)-MAX($O291,'Engine'!$B$4))+'Engine'!$B$10*MAX(0,MIN($O292,'Engine'!$B$7)-MAX($O291,'Engine'!$B$6)))/100/$H$8/$I292*$H$8*100)</f>
        <v/>
      </c>
      <c r="I292" s="43">
        <f>$O292-$O291</f>
        <v/>
      </c>
      <c r="J292" s="41">
        <f>IF($I292&lt;=0,0,$S291*('Engine'!$B$8*MAX(0,MIN($O292,'Engine'!$B$3)-MAX($O291,'Engine'!$B$2))+'Engine'!$B$9*MAX(0,MIN($O292,'Engine'!$B$5)-MAX($O291,'Engine'!$B$4))+'Engine'!$B$10*MAX(0,MIN($O292,'Engine'!$B$7)-MAX($O291,'Engine'!$B$6)))/100/$H$8)</f>
        <v/>
      </c>
      <c r="K292" s="41">
        <f>IF($B292="","",$T292)</f>
        <v/>
      </c>
      <c r="L292" s="36" t="n"/>
      <c r="M292" s="41">
        <f>IF($L292="","",ROUND($S292-$L292,2))</f>
        <v/>
      </c>
      <c r="N292" s="44">
        <f>IF(AND($H$10&lt;&gt;"",$O292&lt;=$H$10),"LOCKED","OPEN")</f>
        <v/>
      </c>
      <c r="O292" s="25">
        <f>IF($B292="",$O291,$B292)</f>
        <v/>
      </c>
      <c r="S292" s="38">
        <f>$S291-IF($F292="",0,$F292)</f>
        <v/>
      </c>
      <c r="T292" s="38">
        <f>$T291+$J292</f>
        <v/>
      </c>
    </row>
    <row r="293">
      <c r="A293" s="39">
        <f>IF($F293="","",COUNT($F$14:$F293))</f>
        <v/>
      </c>
      <c r="B293" s="8" t="n"/>
      <c r="C293" s="6" t="n"/>
      <c r="D293" s="6" t="n"/>
      <c r="E293" s="40" t="n"/>
      <c r="F293" s="36" t="n"/>
      <c r="G293" s="41">
        <f>IF($B293="","",$S293)</f>
        <v/>
      </c>
      <c r="H293" s="42">
        <f>IF($I293&lt;=0,"",('Engine'!$B$8*MAX(0,MIN($O293,'Engine'!$B$3)-MAX($O292,'Engine'!$B$2))+'Engine'!$B$9*MAX(0,MIN($O293,'Engine'!$B$5)-MAX($O292,'Engine'!$B$4))+'Engine'!$B$10*MAX(0,MIN($O293,'Engine'!$B$7)-MAX($O292,'Engine'!$B$6)))/100/$H$8/$I293*$H$8*100)</f>
        <v/>
      </c>
      <c r="I293" s="43">
        <f>$O293-$O292</f>
        <v/>
      </c>
      <c r="J293" s="41">
        <f>IF($I293&lt;=0,0,$S292*('Engine'!$B$8*MAX(0,MIN($O293,'Engine'!$B$3)-MAX($O292,'Engine'!$B$2))+'Engine'!$B$9*MAX(0,MIN($O293,'Engine'!$B$5)-MAX($O292,'Engine'!$B$4))+'Engine'!$B$10*MAX(0,MIN($O293,'Engine'!$B$7)-MAX($O292,'Engine'!$B$6)))/100/$H$8)</f>
        <v/>
      </c>
      <c r="K293" s="41">
        <f>IF($B293="","",$T293)</f>
        <v/>
      </c>
      <c r="L293" s="36" t="n"/>
      <c r="M293" s="41">
        <f>IF($L293="","",ROUND($S293-$L293,2))</f>
        <v/>
      </c>
      <c r="N293" s="44">
        <f>IF(AND($H$10&lt;&gt;"",$O293&lt;=$H$10),"LOCKED","OPEN")</f>
        <v/>
      </c>
      <c r="O293" s="25">
        <f>IF($B293="",$O292,$B293)</f>
        <v/>
      </c>
      <c r="S293" s="38">
        <f>$S292-IF($F293="",0,$F293)</f>
        <v/>
      </c>
      <c r="T293" s="38">
        <f>$T292+$J293</f>
        <v/>
      </c>
    </row>
    <row r="294">
      <c r="A294" s="39">
        <f>IF($F294="","",COUNT($F$14:$F294))</f>
        <v/>
      </c>
      <c r="B294" s="8" t="n"/>
      <c r="C294" s="6" t="n"/>
      <c r="D294" s="6" t="n"/>
      <c r="E294" s="40" t="n"/>
      <c r="F294" s="36" t="n"/>
      <c r="G294" s="41">
        <f>IF($B294="","",$S294)</f>
        <v/>
      </c>
      <c r="H294" s="42">
        <f>IF($I294&lt;=0,"",('Engine'!$B$8*MAX(0,MIN($O294,'Engine'!$B$3)-MAX($O293,'Engine'!$B$2))+'Engine'!$B$9*MAX(0,MIN($O294,'Engine'!$B$5)-MAX($O293,'Engine'!$B$4))+'Engine'!$B$10*MAX(0,MIN($O294,'Engine'!$B$7)-MAX($O293,'Engine'!$B$6)))/100/$H$8/$I294*$H$8*100)</f>
        <v/>
      </c>
      <c r="I294" s="43">
        <f>$O294-$O293</f>
        <v/>
      </c>
      <c r="J294" s="41">
        <f>IF($I294&lt;=0,0,$S293*('Engine'!$B$8*MAX(0,MIN($O294,'Engine'!$B$3)-MAX($O293,'Engine'!$B$2))+'Engine'!$B$9*MAX(0,MIN($O294,'Engine'!$B$5)-MAX($O293,'Engine'!$B$4))+'Engine'!$B$10*MAX(0,MIN($O294,'Engine'!$B$7)-MAX($O293,'Engine'!$B$6)))/100/$H$8)</f>
        <v/>
      </c>
      <c r="K294" s="41">
        <f>IF($B294="","",$T294)</f>
        <v/>
      </c>
      <c r="L294" s="36" t="n"/>
      <c r="M294" s="41">
        <f>IF($L294="","",ROUND($S294-$L294,2))</f>
        <v/>
      </c>
      <c r="N294" s="44">
        <f>IF(AND($H$10&lt;&gt;"",$O294&lt;=$H$10),"LOCKED","OPEN")</f>
        <v/>
      </c>
      <c r="O294" s="25">
        <f>IF($B294="",$O293,$B294)</f>
        <v/>
      </c>
      <c r="S294" s="38">
        <f>$S293-IF($F294="",0,$F294)</f>
        <v/>
      </c>
      <c r="T294" s="38">
        <f>$T293+$J294</f>
        <v/>
      </c>
    </row>
    <row r="295">
      <c r="A295" s="39">
        <f>IF($F295="","",COUNT($F$14:$F295))</f>
        <v/>
      </c>
      <c r="B295" s="8" t="n"/>
      <c r="C295" s="6" t="n"/>
      <c r="D295" s="6" t="n"/>
      <c r="E295" s="40" t="n"/>
      <c r="F295" s="36" t="n"/>
      <c r="G295" s="41">
        <f>IF($B295="","",$S295)</f>
        <v/>
      </c>
      <c r="H295" s="42">
        <f>IF($I295&lt;=0,"",('Engine'!$B$8*MAX(0,MIN($O295,'Engine'!$B$3)-MAX($O294,'Engine'!$B$2))+'Engine'!$B$9*MAX(0,MIN($O295,'Engine'!$B$5)-MAX($O294,'Engine'!$B$4))+'Engine'!$B$10*MAX(0,MIN($O295,'Engine'!$B$7)-MAX($O294,'Engine'!$B$6)))/100/$H$8/$I295*$H$8*100)</f>
        <v/>
      </c>
      <c r="I295" s="43">
        <f>$O295-$O294</f>
        <v/>
      </c>
      <c r="J295" s="41">
        <f>IF($I295&lt;=0,0,$S294*('Engine'!$B$8*MAX(0,MIN($O295,'Engine'!$B$3)-MAX($O294,'Engine'!$B$2))+'Engine'!$B$9*MAX(0,MIN($O295,'Engine'!$B$5)-MAX($O294,'Engine'!$B$4))+'Engine'!$B$10*MAX(0,MIN($O295,'Engine'!$B$7)-MAX($O294,'Engine'!$B$6)))/100/$H$8)</f>
        <v/>
      </c>
      <c r="K295" s="41">
        <f>IF($B295="","",$T295)</f>
        <v/>
      </c>
      <c r="L295" s="36" t="n"/>
      <c r="M295" s="41">
        <f>IF($L295="","",ROUND($S295-$L295,2))</f>
        <v/>
      </c>
      <c r="N295" s="44">
        <f>IF(AND($H$10&lt;&gt;"",$O295&lt;=$H$10),"LOCKED","OPEN")</f>
        <v/>
      </c>
      <c r="O295" s="25">
        <f>IF($B295="",$O294,$B295)</f>
        <v/>
      </c>
      <c r="S295" s="38">
        <f>$S294-IF($F295="",0,$F295)</f>
        <v/>
      </c>
      <c r="T295" s="38">
        <f>$T294+$J295</f>
        <v/>
      </c>
    </row>
    <row r="296">
      <c r="A296" s="39">
        <f>IF($F296="","",COUNT($F$14:$F296))</f>
        <v/>
      </c>
      <c r="B296" s="8" t="n"/>
      <c r="C296" s="6" t="n"/>
      <c r="D296" s="6" t="n"/>
      <c r="E296" s="40" t="n"/>
      <c r="F296" s="36" t="n"/>
      <c r="G296" s="41">
        <f>IF($B296="","",$S296)</f>
        <v/>
      </c>
      <c r="H296" s="42">
        <f>IF($I296&lt;=0,"",('Engine'!$B$8*MAX(0,MIN($O296,'Engine'!$B$3)-MAX($O295,'Engine'!$B$2))+'Engine'!$B$9*MAX(0,MIN($O296,'Engine'!$B$5)-MAX($O295,'Engine'!$B$4))+'Engine'!$B$10*MAX(0,MIN($O296,'Engine'!$B$7)-MAX($O295,'Engine'!$B$6)))/100/$H$8/$I296*$H$8*100)</f>
        <v/>
      </c>
      <c r="I296" s="43">
        <f>$O296-$O295</f>
        <v/>
      </c>
      <c r="J296" s="41">
        <f>IF($I296&lt;=0,0,$S295*('Engine'!$B$8*MAX(0,MIN($O296,'Engine'!$B$3)-MAX($O295,'Engine'!$B$2))+'Engine'!$B$9*MAX(0,MIN($O296,'Engine'!$B$5)-MAX($O295,'Engine'!$B$4))+'Engine'!$B$10*MAX(0,MIN($O296,'Engine'!$B$7)-MAX($O295,'Engine'!$B$6)))/100/$H$8)</f>
        <v/>
      </c>
      <c r="K296" s="41">
        <f>IF($B296="","",$T296)</f>
        <v/>
      </c>
      <c r="L296" s="36" t="n"/>
      <c r="M296" s="41">
        <f>IF($L296="","",ROUND($S296-$L296,2))</f>
        <v/>
      </c>
      <c r="N296" s="44">
        <f>IF(AND($H$10&lt;&gt;"",$O296&lt;=$H$10),"LOCKED","OPEN")</f>
        <v/>
      </c>
      <c r="O296" s="25">
        <f>IF($B296="",$O295,$B296)</f>
        <v/>
      </c>
      <c r="S296" s="38">
        <f>$S295-IF($F296="",0,$F296)</f>
        <v/>
      </c>
      <c r="T296" s="38">
        <f>$T295+$J296</f>
        <v/>
      </c>
    </row>
    <row r="297">
      <c r="A297" s="39">
        <f>IF($F297="","",COUNT($F$14:$F297))</f>
        <v/>
      </c>
      <c r="B297" s="8" t="n"/>
      <c r="C297" s="6" t="n"/>
      <c r="D297" s="6" t="n"/>
      <c r="E297" s="40" t="n"/>
      <c r="F297" s="36" t="n"/>
      <c r="G297" s="41">
        <f>IF($B297="","",$S297)</f>
        <v/>
      </c>
      <c r="H297" s="42">
        <f>IF($I297&lt;=0,"",('Engine'!$B$8*MAX(0,MIN($O297,'Engine'!$B$3)-MAX($O296,'Engine'!$B$2))+'Engine'!$B$9*MAX(0,MIN($O297,'Engine'!$B$5)-MAX($O296,'Engine'!$B$4))+'Engine'!$B$10*MAX(0,MIN($O297,'Engine'!$B$7)-MAX($O296,'Engine'!$B$6)))/100/$H$8/$I297*$H$8*100)</f>
        <v/>
      </c>
      <c r="I297" s="43">
        <f>$O297-$O296</f>
        <v/>
      </c>
      <c r="J297" s="41">
        <f>IF($I297&lt;=0,0,$S296*('Engine'!$B$8*MAX(0,MIN($O297,'Engine'!$B$3)-MAX($O296,'Engine'!$B$2))+'Engine'!$B$9*MAX(0,MIN($O297,'Engine'!$B$5)-MAX($O296,'Engine'!$B$4))+'Engine'!$B$10*MAX(0,MIN($O297,'Engine'!$B$7)-MAX($O296,'Engine'!$B$6)))/100/$H$8)</f>
        <v/>
      </c>
      <c r="K297" s="41">
        <f>IF($B297="","",$T297)</f>
        <v/>
      </c>
      <c r="L297" s="36" t="n"/>
      <c r="M297" s="41">
        <f>IF($L297="","",ROUND($S297-$L297,2))</f>
        <v/>
      </c>
      <c r="N297" s="44">
        <f>IF(AND($H$10&lt;&gt;"",$O297&lt;=$H$10),"LOCKED","OPEN")</f>
        <v/>
      </c>
      <c r="O297" s="25">
        <f>IF($B297="",$O296,$B297)</f>
        <v/>
      </c>
      <c r="S297" s="38">
        <f>$S296-IF($F297="",0,$F297)</f>
        <v/>
      </c>
      <c r="T297" s="38">
        <f>$T296+$J297</f>
        <v/>
      </c>
    </row>
    <row r="298">
      <c r="A298" s="39">
        <f>IF($F298="","",COUNT($F$14:$F298))</f>
        <v/>
      </c>
      <c r="B298" s="8" t="n"/>
      <c r="C298" s="6" t="n"/>
      <c r="D298" s="6" t="n"/>
      <c r="E298" s="40" t="n"/>
      <c r="F298" s="36" t="n"/>
      <c r="G298" s="41">
        <f>IF($B298="","",$S298)</f>
        <v/>
      </c>
      <c r="H298" s="42">
        <f>IF($I298&lt;=0,"",('Engine'!$B$8*MAX(0,MIN($O298,'Engine'!$B$3)-MAX($O297,'Engine'!$B$2))+'Engine'!$B$9*MAX(0,MIN($O298,'Engine'!$B$5)-MAX($O297,'Engine'!$B$4))+'Engine'!$B$10*MAX(0,MIN($O298,'Engine'!$B$7)-MAX($O297,'Engine'!$B$6)))/100/$H$8/$I298*$H$8*100)</f>
        <v/>
      </c>
      <c r="I298" s="43">
        <f>$O298-$O297</f>
        <v/>
      </c>
      <c r="J298" s="41">
        <f>IF($I298&lt;=0,0,$S297*('Engine'!$B$8*MAX(0,MIN($O298,'Engine'!$B$3)-MAX($O297,'Engine'!$B$2))+'Engine'!$B$9*MAX(0,MIN($O298,'Engine'!$B$5)-MAX($O297,'Engine'!$B$4))+'Engine'!$B$10*MAX(0,MIN($O298,'Engine'!$B$7)-MAX($O297,'Engine'!$B$6)))/100/$H$8)</f>
        <v/>
      </c>
      <c r="K298" s="41">
        <f>IF($B298="","",$T298)</f>
        <v/>
      </c>
      <c r="L298" s="36" t="n"/>
      <c r="M298" s="41">
        <f>IF($L298="","",ROUND($S298-$L298,2))</f>
        <v/>
      </c>
      <c r="N298" s="44">
        <f>IF(AND($H$10&lt;&gt;"",$O298&lt;=$H$10),"LOCKED","OPEN")</f>
        <v/>
      </c>
      <c r="O298" s="25">
        <f>IF($B298="",$O297,$B298)</f>
        <v/>
      </c>
      <c r="S298" s="38">
        <f>$S297-IF($F298="",0,$F298)</f>
        <v/>
      </c>
      <c r="T298" s="38">
        <f>$T297+$J298</f>
        <v/>
      </c>
    </row>
    <row r="299">
      <c r="A299" s="45" t="inlineStr">
        <is>
          <t>INT</t>
        </is>
      </c>
      <c r="B299" s="46">
        <f>$Q$287</f>
        <v/>
      </c>
      <c r="C299" s="47" t="n"/>
      <c r="D299" s="48">
        <f>"Interest for the quarter debited &amp; capitalised   ·   rate(s) applied :  "&amp;$R$287</f>
        <v/>
      </c>
      <c r="E299" s="49">
        <f>ROUND($T298+$J299,2)</f>
        <v/>
      </c>
      <c r="F299" s="50" t="n"/>
      <c r="G299" s="49">
        <f>$S299</f>
        <v/>
      </c>
      <c r="H299" s="51">
        <f>IF($I299&lt;=0,"",('Engine'!$B$8*MAX(0,MIN($O299,'Engine'!$B$3)-MAX($O298,'Engine'!$B$2))+'Engine'!$B$9*MAX(0,MIN($O299,'Engine'!$B$5)-MAX($O298,'Engine'!$B$4))+'Engine'!$B$10*MAX(0,MIN($O299,'Engine'!$B$7)-MAX($O298,'Engine'!$B$6)))/100/$H$8/$I299*$H$8*100)</f>
        <v/>
      </c>
      <c r="I299" s="52">
        <f>$O299-$O298</f>
        <v/>
      </c>
      <c r="J299" s="53">
        <f>IF($I299&lt;=0,0,$S298*('Engine'!$B$8*MAX(0,MIN($O299,'Engine'!$B$3)-MAX($O298,'Engine'!$B$2))+'Engine'!$B$9*MAX(0,MIN($O299,'Engine'!$B$5)-MAX($O298,'Engine'!$B$4))+'Engine'!$B$10*MAX(0,MIN($O299,'Engine'!$B$7)-MAX($O298,'Engine'!$B$6)))/100/$H$8)</f>
        <v/>
      </c>
      <c r="K299" s="53" t="n">
        <v>0</v>
      </c>
      <c r="L299" s="36" t="n"/>
      <c r="M299" s="53">
        <f>IF($L299="","",ROUND($S299-$L299,2))</f>
        <v/>
      </c>
      <c r="N299" s="54">
        <f>IF(AND($H$10&lt;&gt;"",$O299&lt;=$H$10),"LOCKED","OPEN")</f>
        <v/>
      </c>
      <c r="O299" s="25">
        <f>$Q$287</f>
        <v/>
      </c>
      <c r="S299" s="38">
        <f>$S298+$E299</f>
        <v/>
      </c>
      <c r="T299" s="38" t="n">
        <v>0</v>
      </c>
    </row>
    <row r="300" ht="18" customHeight="1">
      <c r="A300" s="24">
        <f>IF($P$300=0,"QUARTER 23          –  enter the Balance B/F date above to activate this quarter  –","QUARTER 23          "&amp;TEXT($P$300,"DD-MM-YYYY")&amp;"   to   "&amp;TEXT($Q$300,"DD-MM-YYYY")&amp;"          "&amp;IF(AND($H$10&lt;&gt;"",$Q$300&lt;=$H$10),"■ LOCKED – reconciled, no entry allowed","▷ OPEN for entry")&amp;"          RATE(S) APPLIED :  "&amp;$R$300)</f>
        <v/>
      </c>
      <c r="O300" s="25">
        <f>'Engine'!$E$24</f>
        <v/>
      </c>
      <c r="P300" s="25">
        <f>'Engine'!$E$24</f>
        <v/>
      </c>
      <c r="Q300" s="25">
        <f>'Engine'!$F$24</f>
        <v/>
      </c>
      <c r="R300" s="26">
        <f>'Engine'!$G$24</f>
        <v/>
      </c>
    </row>
    <row r="301">
      <c r="A301" s="27" t="inlineStr">
        <is>
          <t>B/F</t>
        </is>
      </c>
      <c r="B301" s="28">
        <f>$P$300</f>
        <v/>
      </c>
      <c r="C301" s="29" t="n"/>
      <c r="D301" s="30">
        <f>"Balance carried forward from quarter 22 – interest capitalised"</f>
        <v/>
      </c>
      <c r="E301" s="31" t="n"/>
      <c r="F301" s="31" t="n"/>
      <c r="G301" s="32">
        <f>$S$301</f>
        <v/>
      </c>
      <c r="H301" s="33" t="n"/>
      <c r="I301" s="34">
        <f>$O$301-$O$299</f>
        <v/>
      </c>
      <c r="J301" s="35" t="n">
        <v>0</v>
      </c>
      <c r="K301" s="35" t="n">
        <v>0</v>
      </c>
      <c r="L301" s="36" t="n"/>
      <c r="M301" s="35">
        <f>IF($L$301="","",ROUND($S$301-$L$301,2))</f>
        <v/>
      </c>
      <c r="N301" s="37">
        <f>IF(AND($H$10&lt;&gt;"",$O$301&lt;=$H$10),"LOCKED","OPEN")</f>
        <v/>
      </c>
      <c r="O301" s="25">
        <f>$P$300</f>
        <v/>
      </c>
      <c r="S301" s="38">
        <f>$S$299</f>
        <v/>
      </c>
      <c r="T301" s="38" t="n">
        <v>0</v>
      </c>
    </row>
    <row r="302">
      <c r="A302" s="39">
        <f>IF($F302="","",COUNT($F$14:$F302))</f>
        <v/>
      </c>
      <c r="B302" s="8" t="n"/>
      <c r="C302" s="6" t="n"/>
      <c r="D302" s="6" t="n"/>
      <c r="E302" s="40" t="n"/>
      <c r="F302" s="36" t="n"/>
      <c r="G302" s="41">
        <f>IF($B302="","",$S302)</f>
        <v/>
      </c>
      <c r="H302" s="42">
        <f>IF($I302&lt;=0,"",('Engine'!$B$8*MAX(0,MIN($O302,'Engine'!$B$3)-MAX($O301,'Engine'!$B$2))+'Engine'!$B$9*MAX(0,MIN($O302,'Engine'!$B$5)-MAX($O301,'Engine'!$B$4))+'Engine'!$B$10*MAX(0,MIN($O302,'Engine'!$B$7)-MAX($O301,'Engine'!$B$6)))/100/$H$8/$I302*$H$8*100)</f>
        <v/>
      </c>
      <c r="I302" s="43">
        <f>$O302-$O301</f>
        <v/>
      </c>
      <c r="J302" s="41">
        <f>IF($I302&lt;=0,0,$S301*('Engine'!$B$8*MAX(0,MIN($O302,'Engine'!$B$3)-MAX($O301,'Engine'!$B$2))+'Engine'!$B$9*MAX(0,MIN($O302,'Engine'!$B$5)-MAX($O301,'Engine'!$B$4))+'Engine'!$B$10*MAX(0,MIN($O302,'Engine'!$B$7)-MAX($O301,'Engine'!$B$6)))/100/$H$8)</f>
        <v/>
      </c>
      <c r="K302" s="41">
        <f>IF($B302="","",$T302)</f>
        <v/>
      </c>
      <c r="L302" s="36" t="n"/>
      <c r="M302" s="41">
        <f>IF($L302="","",ROUND($S302-$L302,2))</f>
        <v/>
      </c>
      <c r="N302" s="44">
        <f>IF(AND($H$10&lt;&gt;"",$O302&lt;=$H$10),"LOCKED","OPEN")</f>
        <v/>
      </c>
      <c r="O302" s="25">
        <f>IF($B302="",$O301,$B302)</f>
        <v/>
      </c>
      <c r="S302" s="38">
        <f>$S301-IF($F302="",0,$F302)</f>
        <v/>
      </c>
      <c r="T302" s="38">
        <f>$T301+$J302</f>
        <v/>
      </c>
    </row>
    <row r="303">
      <c r="A303" s="39">
        <f>IF($F303="","",COUNT($F$14:$F303))</f>
        <v/>
      </c>
      <c r="B303" s="8" t="n"/>
      <c r="C303" s="6" t="n"/>
      <c r="D303" s="6" t="n"/>
      <c r="E303" s="40" t="n"/>
      <c r="F303" s="36" t="n"/>
      <c r="G303" s="41">
        <f>IF($B303="","",$S303)</f>
        <v/>
      </c>
      <c r="H303" s="42">
        <f>IF($I303&lt;=0,"",('Engine'!$B$8*MAX(0,MIN($O303,'Engine'!$B$3)-MAX($O302,'Engine'!$B$2))+'Engine'!$B$9*MAX(0,MIN($O303,'Engine'!$B$5)-MAX($O302,'Engine'!$B$4))+'Engine'!$B$10*MAX(0,MIN($O303,'Engine'!$B$7)-MAX($O302,'Engine'!$B$6)))/100/$H$8/$I303*$H$8*100)</f>
        <v/>
      </c>
      <c r="I303" s="43">
        <f>$O303-$O302</f>
        <v/>
      </c>
      <c r="J303" s="41">
        <f>IF($I303&lt;=0,0,$S302*('Engine'!$B$8*MAX(0,MIN($O303,'Engine'!$B$3)-MAX($O302,'Engine'!$B$2))+'Engine'!$B$9*MAX(0,MIN($O303,'Engine'!$B$5)-MAX($O302,'Engine'!$B$4))+'Engine'!$B$10*MAX(0,MIN($O303,'Engine'!$B$7)-MAX($O302,'Engine'!$B$6)))/100/$H$8)</f>
        <v/>
      </c>
      <c r="K303" s="41">
        <f>IF($B303="","",$T303)</f>
        <v/>
      </c>
      <c r="L303" s="36" t="n"/>
      <c r="M303" s="41">
        <f>IF($L303="","",ROUND($S303-$L303,2))</f>
        <v/>
      </c>
      <c r="N303" s="44">
        <f>IF(AND($H$10&lt;&gt;"",$O303&lt;=$H$10),"LOCKED","OPEN")</f>
        <v/>
      </c>
      <c r="O303" s="25">
        <f>IF($B303="",$O302,$B303)</f>
        <v/>
      </c>
      <c r="S303" s="38">
        <f>$S302-IF($F303="",0,$F303)</f>
        <v/>
      </c>
      <c r="T303" s="38">
        <f>$T302+$J303</f>
        <v/>
      </c>
    </row>
    <row r="304">
      <c r="A304" s="39">
        <f>IF($F304="","",COUNT($F$14:$F304))</f>
        <v/>
      </c>
      <c r="B304" s="8" t="n"/>
      <c r="C304" s="6" t="n"/>
      <c r="D304" s="6" t="n"/>
      <c r="E304" s="40" t="n"/>
      <c r="F304" s="36" t="n"/>
      <c r="G304" s="41">
        <f>IF($B304="","",$S304)</f>
        <v/>
      </c>
      <c r="H304" s="42">
        <f>IF($I304&lt;=0,"",('Engine'!$B$8*MAX(0,MIN($O304,'Engine'!$B$3)-MAX($O303,'Engine'!$B$2))+'Engine'!$B$9*MAX(0,MIN($O304,'Engine'!$B$5)-MAX($O303,'Engine'!$B$4))+'Engine'!$B$10*MAX(0,MIN($O304,'Engine'!$B$7)-MAX($O303,'Engine'!$B$6)))/100/$H$8/$I304*$H$8*100)</f>
        <v/>
      </c>
      <c r="I304" s="43">
        <f>$O304-$O303</f>
        <v/>
      </c>
      <c r="J304" s="41">
        <f>IF($I304&lt;=0,0,$S303*('Engine'!$B$8*MAX(0,MIN($O304,'Engine'!$B$3)-MAX($O303,'Engine'!$B$2))+'Engine'!$B$9*MAX(0,MIN($O304,'Engine'!$B$5)-MAX($O303,'Engine'!$B$4))+'Engine'!$B$10*MAX(0,MIN($O304,'Engine'!$B$7)-MAX($O303,'Engine'!$B$6)))/100/$H$8)</f>
        <v/>
      </c>
      <c r="K304" s="41">
        <f>IF($B304="","",$T304)</f>
        <v/>
      </c>
      <c r="L304" s="36" t="n"/>
      <c r="M304" s="41">
        <f>IF($L304="","",ROUND($S304-$L304,2))</f>
        <v/>
      </c>
      <c r="N304" s="44">
        <f>IF(AND($H$10&lt;&gt;"",$O304&lt;=$H$10),"LOCKED","OPEN")</f>
        <v/>
      </c>
      <c r="O304" s="25">
        <f>IF($B304="",$O303,$B304)</f>
        <v/>
      </c>
      <c r="S304" s="38">
        <f>$S303-IF($F304="",0,$F304)</f>
        <v/>
      </c>
      <c r="T304" s="38">
        <f>$T303+$J304</f>
        <v/>
      </c>
    </row>
    <row r="305">
      <c r="A305" s="39">
        <f>IF($F305="","",COUNT($F$14:$F305))</f>
        <v/>
      </c>
      <c r="B305" s="8" t="n"/>
      <c r="C305" s="6" t="n"/>
      <c r="D305" s="6" t="n"/>
      <c r="E305" s="40" t="n"/>
      <c r="F305" s="36" t="n"/>
      <c r="G305" s="41">
        <f>IF($B305="","",$S305)</f>
        <v/>
      </c>
      <c r="H305" s="42">
        <f>IF($I305&lt;=0,"",('Engine'!$B$8*MAX(0,MIN($O305,'Engine'!$B$3)-MAX($O304,'Engine'!$B$2))+'Engine'!$B$9*MAX(0,MIN($O305,'Engine'!$B$5)-MAX($O304,'Engine'!$B$4))+'Engine'!$B$10*MAX(0,MIN($O305,'Engine'!$B$7)-MAX($O304,'Engine'!$B$6)))/100/$H$8/$I305*$H$8*100)</f>
        <v/>
      </c>
      <c r="I305" s="43">
        <f>$O305-$O304</f>
        <v/>
      </c>
      <c r="J305" s="41">
        <f>IF($I305&lt;=0,0,$S304*('Engine'!$B$8*MAX(0,MIN($O305,'Engine'!$B$3)-MAX($O304,'Engine'!$B$2))+'Engine'!$B$9*MAX(0,MIN($O305,'Engine'!$B$5)-MAX($O304,'Engine'!$B$4))+'Engine'!$B$10*MAX(0,MIN($O305,'Engine'!$B$7)-MAX($O304,'Engine'!$B$6)))/100/$H$8)</f>
        <v/>
      </c>
      <c r="K305" s="41">
        <f>IF($B305="","",$T305)</f>
        <v/>
      </c>
      <c r="L305" s="36" t="n"/>
      <c r="M305" s="41">
        <f>IF($L305="","",ROUND($S305-$L305,2))</f>
        <v/>
      </c>
      <c r="N305" s="44">
        <f>IF(AND($H$10&lt;&gt;"",$O305&lt;=$H$10),"LOCKED","OPEN")</f>
        <v/>
      </c>
      <c r="O305" s="25">
        <f>IF($B305="",$O304,$B305)</f>
        <v/>
      </c>
      <c r="S305" s="38">
        <f>$S304-IF($F305="",0,$F305)</f>
        <v/>
      </c>
      <c r="T305" s="38">
        <f>$T304+$J305</f>
        <v/>
      </c>
    </row>
    <row r="306">
      <c r="A306" s="39">
        <f>IF($F306="","",COUNT($F$14:$F306))</f>
        <v/>
      </c>
      <c r="B306" s="8" t="n"/>
      <c r="C306" s="6" t="n"/>
      <c r="D306" s="6" t="n"/>
      <c r="E306" s="40" t="n"/>
      <c r="F306" s="36" t="n"/>
      <c r="G306" s="41">
        <f>IF($B306="","",$S306)</f>
        <v/>
      </c>
      <c r="H306" s="42">
        <f>IF($I306&lt;=0,"",('Engine'!$B$8*MAX(0,MIN($O306,'Engine'!$B$3)-MAX($O305,'Engine'!$B$2))+'Engine'!$B$9*MAX(0,MIN($O306,'Engine'!$B$5)-MAX($O305,'Engine'!$B$4))+'Engine'!$B$10*MAX(0,MIN($O306,'Engine'!$B$7)-MAX($O305,'Engine'!$B$6)))/100/$H$8/$I306*$H$8*100)</f>
        <v/>
      </c>
      <c r="I306" s="43">
        <f>$O306-$O305</f>
        <v/>
      </c>
      <c r="J306" s="41">
        <f>IF($I306&lt;=0,0,$S305*('Engine'!$B$8*MAX(0,MIN($O306,'Engine'!$B$3)-MAX($O305,'Engine'!$B$2))+'Engine'!$B$9*MAX(0,MIN($O306,'Engine'!$B$5)-MAX($O305,'Engine'!$B$4))+'Engine'!$B$10*MAX(0,MIN($O306,'Engine'!$B$7)-MAX($O305,'Engine'!$B$6)))/100/$H$8)</f>
        <v/>
      </c>
      <c r="K306" s="41">
        <f>IF($B306="","",$T306)</f>
        <v/>
      </c>
      <c r="L306" s="36" t="n"/>
      <c r="M306" s="41">
        <f>IF($L306="","",ROUND($S306-$L306,2))</f>
        <v/>
      </c>
      <c r="N306" s="44">
        <f>IF(AND($H$10&lt;&gt;"",$O306&lt;=$H$10),"LOCKED","OPEN")</f>
        <v/>
      </c>
      <c r="O306" s="25">
        <f>IF($B306="",$O305,$B306)</f>
        <v/>
      </c>
      <c r="S306" s="38">
        <f>$S305-IF($F306="",0,$F306)</f>
        <v/>
      </c>
      <c r="T306" s="38">
        <f>$T305+$J306</f>
        <v/>
      </c>
    </row>
    <row r="307">
      <c r="A307" s="39">
        <f>IF($F307="","",COUNT($F$14:$F307))</f>
        <v/>
      </c>
      <c r="B307" s="8" t="n"/>
      <c r="C307" s="6" t="n"/>
      <c r="D307" s="6" t="n"/>
      <c r="E307" s="40" t="n"/>
      <c r="F307" s="36" t="n"/>
      <c r="G307" s="41">
        <f>IF($B307="","",$S307)</f>
        <v/>
      </c>
      <c r="H307" s="42">
        <f>IF($I307&lt;=0,"",('Engine'!$B$8*MAX(0,MIN($O307,'Engine'!$B$3)-MAX($O306,'Engine'!$B$2))+'Engine'!$B$9*MAX(0,MIN($O307,'Engine'!$B$5)-MAX($O306,'Engine'!$B$4))+'Engine'!$B$10*MAX(0,MIN($O307,'Engine'!$B$7)-MAX($O306,'Engine'!$B$6)))/100/$H$8/$I307*$H$8*100)</f>
        <v/>
      </c>
      <c r="I307" s="43">
        <f>$O307-$O306</f>
        <v/>
      </c>
      <c r="J307" s="41">
        <f>IF($I307&lt;=0,0,$S306*('Engine'!$B$8*MAX(0,MIN($O307,'Engine'!$B$3)-MAX($O306,'Engine'!$B$2))+'Engine'!$B$9*MAX(0,MIN($O307,'Engine'!$B$5)-MAX($O306,'Engine'!$B$4))+'Engine'!$B$10*MAX(0,MIN($O307,'Engine'!$B$7)-MAX($O306,'Engine'!$B$6)))/100/$H$8)</f>
        <v/>
      </c>
      <c r="K307" s="41">
        <f>IF($B307="","",$T307)</f>
        <v/>
      </c>
      <c r="L307" s="36" t="n"/>
      <c r="M307" s="41">
        <f>IF($L307="","",ROUND($S307-$L307,2))</f>
        <v/>
      </c>
      <c r="N307" s="44">
        <f>IF(AND($H$10&lt;&gt;"",$O307&lt;=$H$10),"LOCKED","OPEN")</f>
        <v/>
      </c>
      <c r="O307" s="25">
        <f>IF($B307="",$O306,$B307)</f>
        <v/>
      </c>
      <c r="S307" s="38">
        <f>$S306-IF($F307="",0,$F307)</f>
        <v/>
      </c>
      <c r="T307" s="38">
        <f>$T306+$J307</f>
        <v/>
      </c>
    </row>
    <row r="308">
      <c r="A308" s="39">
        <f>IF($F308="","",COUNT($F$14:$F308))</f>
        <v/>
      </c>
      <c r="B308" s="8" t="n"/>
      <c r="C308" s="6" t="n"/>
      <c r="D308" s="6" t="n"/>
      <c r="E308" s="40" t="n"/>
      <c r="F308" s="36" t="n"/>
      <c r="G308" s="41">
        <f>IF($B308="","",$S308)</f>
        <v/>
      </c>
      <c r="H308" s="42">
        <f>IF($I308&lt;=0,"",('Engine'!$B$8*MAX(0,MIN($O308,'Engine'!$B$3)-MAX($O307,'Engine'!$B$2))+'Engine'!$B$9*MAX(0,MIN($O308,'Engine'!$B$5)-MAX($O307,'Engine'!$B$4))+'Engine'!$B$10*MAX(0,MIN($O308,'Engine'!$B$7)-MAX($O307,'Engine'!$B$6)))/100/$H$8/$I308*$H$8*100)</f>
        <v/>
      </c>
      <c r="I308" s="43">
        <f>$O308-$O307</f>
        <v/>
      </c>
      <c r="J308" s="41">
        <f>IF($I308&lt;=0,0,$S307*('Engine'!$B$8*MAX(0,MIN($O308,'Engine'!$B$3)-MAX($O307,'Engine'!$B$2))+'Engine'!$B$9*MAX(0,MIN($O308,'Engine'!$B$5)-MAX($O307,'Engine'!$B$4))+'Engine'!$B$10*MAX(0,MIN($O308,'Engine'!$B$7)-MAX($O307,'Engine'!$B$6)))/100/$H$8)</f>
        <v/>
      </c>
      <c r="K308" s="41">
        <f>IF($B308="","",$T308)</f>
        <v/>
      </c>
      <c r="L308" s="36" t="n"/>
      <c r="M308" s="41">
        <f>IF($L308="","",ROUND($S308-$L308,2))</f>
        <v/>
      </c>
      <c r="N308" s="44">
        <f>IF(AND($H$10&lt;&gt;"",$O308&lt;=$H$10),"LOCKED","OPEN")</f>
        <v/>
      </c>
      <c r="O308" s="25">
        <f>IF($B308="",$O307,$B308)</f>
        <v/>
      </c>
      <c r="S308" s="38">
        <f>$S307-IF($F308="",0,$F308)</f>
        <v/>
      </c>
      <c r="T308" s="38">
        <f>$T307+$J308</f>
        <v/>
      </c>
    </row>
    <row r="309">
      <c r="A309" s="39">
        <f>IF($F309="","",COUNT($F$14:$F309))</f>
        <v/>
      </c>
      <c r="B309" s="8" t="n"/>
      <c r="C309" s="6" t="n"/>
      <c r="D309" s="6" t="n"/>
      <c r="E309" s="40" t="n"/>
      <c r="F309" s="36" t="n"/>
      <c r="G309" s="41">
        <f>IF($B309="","",$S309)</f>
        <v/>
      </c>
      <c r="H309" s="42">
        <f>IF($I309&lt;=0,"",('Engine'!$B$8*MAX(0,MIN($O309,'Engine'!$B$3)-MAX($O308,'Engine'!$B$2))+'Engine'!$B$9*MAX(0,MIN($O309,'Engine'!$B$5)-MAX($O308,'Engine'!$B$4))+'Engine'!$B$10*MAX(0,MIN($O309,'Engine'!$B$7)-MAX($O308,'Engine'!$B$6)))/100/$H$8/$I309*$H$8*100)</f>
        <v/>
      </c>
      <c r="I309" s="43">
        <f>$O309-$O308</f>
        <v/>
      </c>
      <c r="J309" s="41">
        <f>IF($I309&lt;=0,0,$S308*('Engine'!$B$8*MAX(0,MIN($O309,'Engine'!$B$3)-MAX($O308,'Engine'!$B$2))+'Engine'!$B$9*MAX(0,MIN($O309,'Engine'!$B$5)-MAX($O308,'Engine'!$B$4))+'Engine'!$B$10*MAX(0,MIN($O309,'Engine'!$B$7)-MAX($O308,'Engine'!$B$6)))/100/$H$8)</f>
        <v/>
      </c>
      <c r="K309" s="41">
        <f>IF($B309="","",$T309)</f>
        <v/>
      </c>
      <c r="L309" s="36" t="n"/>
      <c r="M309" s="41">
        <f>IF($L309="","",ROUND($S309-$L309,2))</f>
        <v/>
      </c>
      <c r="N309" s="44">
        <f>IF(AND($H$10&lt;&gt;"",$O309&lt;=$H$10),"LOCKED","OPEN")</f>
        <v/>
      </c>
      <c r="O309" s="25">
        <f>IF($B309="",$O308,$B309)</f>
        <v/>
      </c>
      <c r="S309" s="38">
        <f>$S308-IF($F309="",0,$F309)</f>
        <v/>
      </c>
      <c r="T309" s="38">
        <f>$T308+$J309</f>
        <v/>
      </c>
    </row>
    <row r="310">
      <c r="A310" s="39">
        <f>IF($F310="","",COUNT($F$14:$F310))</f>
        <v/>
      </c>
      <c r="B310" s="8" t="n"/>
      <c r="C310" s="6" t="n"/>
      <c r="D310" s="6" t="n"/>
      <c r="E310" s="40" t="n"/>
      <c r="F310" s="36" t="n"/>
      <c r="G310" s="41">
        <f>IF($B310="","",$S310)</f>
        <v/>
      </c>
      <c r="H310" s="42">
        <f>IF($I310&lt;=0,"",('Engine'!$B$8*MAX(0,MIN($O310,'Engine'!$B$3)-MAX($O309,'Engine'!$B$2))+'Engine'!$B$9*MAX(0,MIN($O310,'Engine'!$B$5)-MAX($O309,'Engine'!$B$4))+'Engine'!$B$10*MAX(0,MIN($O310,'Engine'!$B$7)-MAX($O309,'Engine'!$B$6)))/100/$H$8/$I310*$H$8*100)</f>
        <v/>
      </c>
      <c r="I310" s="43">
        <f>$O310-$O309</f>
        <v/>
      </c>
      <c r="J310" s="41">
        <f>IF($I310&lt;=0,0,$S309*('Engine'!$B$8*MAX(0,MIN($O310,'Engine'!$B$3)-MAX($O309,'Engine'!$B$2))+'Engine'!$B$9*MAX(0,MIN($O310,'Engine'!$B$5)-MAX($O309,'Engine'!$B$4))+'Engine'!$B$10*MAX(0,MIN($O310,'Engine'!$B$7)-MAX($O309,'Engine'!$B$6)))/100/$H$8)</f>
        <v/>
      </c>
      <c r="K310" s="41">
        <f>IF($B310="","",$T310)</f>
        <v/>
      </c>
      <c r="L310" s="36" t="n"/>
      <c r="M310" s="41">
        <f>IF($L310="","",ROUND($S310-$L310,2))</f>
        <v/>
      </c>
      <c r="N310" s="44">
        <f>IF(AND($H$10&lt;&gt;"",$O310&lt;=$H$10),"LOCKED","OPEN")</f>
        <v/>
      </c>
      <c r="O310" s="25">
        <f>IF($B310="",$O309,$B310)</f>
        <v/>
      </c>
      <c r="S310" s="38">
        <f>$S309-IF($F310="",0,$F310)</f>
        <v/>
      </c>
      <c r="T310" s="38">
        <f>$T309+$J310</f>
        <v/>
      </c>
    </row>
    <row r="311">
      <c r="A311" s="39">
        <f>IF($F311="","",COUNT($F$14:$F311))</f>
        <v/>
      </c>
      <c r="B311" s="8" t="n"/>
      <c r="C311" s="6" t="n"/>
      <c r="D311" s="6" t="n"/>
      <c r="E311" s="40" t="n"/>
      <c r="F311" s="36" t="n"/>
      <c r="G311" s="41">
        <f>IF($B311="","",$S311)</f>
        <v/>
      </c>
      <c r="H311" s="42">
        <f>IF($I311&lt;=0,"",('Engine'!$B$8*MAX(0,MIN($O311,'Engine'!$B$3)-MAX($O310,'Engine'!$B$2))+'Engine'!$B$9*MAX(0,MIN($O311,'Engine'!$B$5)-MAX($O310,'Engine'!$B$4))+'Engine'!$B$10*MAX(0,MIN($O311,'Engine'!$B$7)-MAX($O310,'Engine'!$B$6)))/100/$H$8/$I311*$H$8*100)</f>
        <v/>
      </c>
      <c r="I311" s="43">
        <f>$O311-$O310</f>
        <v/>
      </c>
      <c r="J311" s="41">
        <f>IF($I311&lt;=0,0,$S310*('Engine'!$B$8*MAX(0,MIN($O311,'Engine'!$B$3)-MAX($O310,'Engine'!$B$2))+'Engine'!$B$9*MAX(0,MIN($O311,'Engine'!$B$5)-MAX($O310,'Engine'!$B$4))+'Engine'!$B$10*MAX(0,MIN($O311,'Engine'!$B$7)-MAX($O310,'Engine'!$B$6)))/100/$H$8)</f>
        <v/>
      </c>
      <c r="K311" s="41">
        <f>IF($B311="","",$T311)</f>
        <v/>
      </c>
      <c r="L311" s="36" t="n"/>
      <c r="M311" s="41">
        <f>IF($L311="","",ROUND($S311-$L311,2))</f>
        <v/>
      </c>
      <c r="N311" s="44">
        <f>IF(AND($H$10&lt;&gt;"",$O311&lt;=$H$10),"LOCKED","OPEN")</f>
        <v/>
      </c>
      <c r="O311" s="25">
        <f>IF($B311="",$O310,$B311)</f>
        <v/>
      </c>
      <c r="S311" s="38">
        <f>$S310-IF($F311="",0,$F311)</f>
        <v/>
      </c>
      <c r="T311" s="38">
        <f>$T310+$J311</f>
        <v/>
      </c>
    </row>
    <row r="312">
      <c r="A312" s="45" t="inlineStr">
        <is>
          <t>INT</t>
        </is>
      </c>
      <c r="B312" s="46">
        <f>$Q$300</f>
        <v/>
      </c>
      <c r="C312" s="47" t="n"/>
      <c r="D312" s="48">
        <f>"Interest for the quarter debited &amp; capitalised   ·   rate(s) applied :  "&amp;$R$300</f>
        <v/>
      </c>
      <c r="E312" s="49">
        <f>ROUND($T311+$J312,2)</f>
        <v/>
      </c>
      <c r="F312" s="50" t="n"/>
      <c r="G312" s="49">
        <f>$S312</f>
        <v/>
      </c>
      <c r="H312" s="51">
        <f>IF($I312&lt;=0,"",('Engine'!$B$8*MAX(0,MIN($O312,'Engine'!$B$3)-MAX($O311,'Engine'!$B$2))+'Engine'!$B$9*MAX(0,MIN($O312,'Engine'!$B$5)-MAX($O311,'Engine'!$B$4))+'Engine'!$B$10*MAX(0,MIN($O312,'Engine'!$B$7)-MAX($O311,'Engine'!$B$6)))/100/$H$8/$I312*$H$8*100)</f>
        <v/>
      </c>
      <c r="I312" s="52">
        <f>$O312-$O311</f>
        <v/>
      </c>
      <c r="J312" s="53">
        <f>IF($I312&lt;=0,0,$S311*('Engine'!$B$8*MAX(0,MIN($O312,'Engine'!$B$3)-MAX($O311,'Engine'!$B$2))+'Engine'!$B$9*MAX(0,MIN($O312,'Engine'!$B$5)-MAX($O311,'Engine'!$B$4))+'Engine'!$B$10*MAX(0,MIN($O312,'Engine'!$B$7)-MAX($O311,'Engine'!$B$6)))/100/$H$8)</f>
        <v/>
      </c>
      <c r="K312" s="53" t="n">
        <v>0</v>
      </c>
      <c r="L312" s="36" t="n"/>
      <c r="M312" s="53">
        <f>IF($L312="","",ROUND($S312-$L312,2))</f>
        <v/>
      </c>
      <c r="N312" s="54">
        <f>IF(AND($H$10&lt;&gt;"",$O312&lt;=$H$10),"LOCKED","OPEN")</f>
        <v/>
      </c>
      <c r="O312" s="25">
        <f>$Q$300</f>
        <v/>
      </c>
      <c r="S312" s="38">
        <f>$S311+$E312</f>
        <v/>
      </c>
      <c r="T312" s="38" t="n">
        <v>0</v>
      </c>
    </row>
    <row r="313" ht="18" customHeight="1">
      <c r="A313" s="24">
        <f>IF($P$313=0,"QUARTER 24          –  enter the Balance B/F date above to activate this quarter  –","QUARTER 24          "&amp;TEXT($P$313,"DD-MM-YYYY")&amp;"   to   "&amp;TEXT($Q$313,"DD-MM-YYYY")&amp;"          "&amp;IF(AND($H$10&lt;&gt;"",$Q$313&lt;=$H$10),"■ LOCKED – reconciled, no entry allowed","▷ OPEN for entry")&amp;"          RATE(S) APPLIED :  "&amp;$R$313)</f>
        <v/>
      </c>
      <c r="O313" s="25">
        <f>'Engine'!$E$25</f>
        <v/>
      </c>
      <c r="P313" s="25">
        <f>'Engine'!$E$25</f>
        <v/>
      </c>
      <c r="Q313" s="25">
        <f>'Engine'!$F$25</f>
        <v/>
      </c>
      <c r="R313" s="26">
        <f>'Engine'!$G$25</f>
        <v/>
      </c>
    </row>
    <row r="314">
      <c r="A314" s="27" t="inlineStr">
        <is>
          <t>B/F</t>
        </is>
      </c>
      <c r="B314" s="28">
        <f>$P$313</f>
        <v/>
      </c>
      <c r="C314" s="29" t="n"/>
      <c r="D314" s="30">
        <f>"Balance carried forward from quarter 23 – interest capitalised"</f>
        <v/>
      </c>
      <c r="E314" s="31" t="n"/>
      <c r="F314" s="31" t="n"/>
      <c r="G314" s="32">
        <f>$S$314</f>
        <v/>
      </c>
      <c r="H314" s="33" t="n"/>
      <c r="I314" s="34">
        <f>$O$314-$O$312</f>
        <v/>
      </c>
      <c r="J314" s="35" t="n">
        <v>0</v>
      </c>
      <c r="K314" s="35" t="n">
        <v>0</v>
      </c>
      <c r="L314" s="36" t="n"/>
      <c r="M314" s="35">
        <f>IF($L$314="","",ROUND($S$314-$L$314,2))</f>
        <v/>
      </c>
      <c r="N314" s="37">
        <f>IF(AND($H$10&lt;&gt;"",$O$314&lt;=$H$10),"LOCKED","OPEN")</f>
        <v/>
      </c>
      <c r="O314" s="25">
        <f>$P$313</f>
        <v/>
      </c>
      <c r="S314" s="38">
        <f>$S$312</f>
        <v/>
      </c>
      <c r="T314" s="38" t="n">
        <v>0</v>
      </c>
    </row>
    <row r="315">
      <c r="A315" s="39">
        <f>IF($F315="","",COUNT($F$14:$F315))</f>
        <v/>
      </c>
      <c r="B315" s="8" t="n"/>
      <c r="C315" s="6" t="n"/>
      <c r="D315" s="6" t="n"/>
      <c r="E315" s="40" t="n"/>
      <c r="F315" s="36" t="n"/>
      <c r="G315" s="41">
        <f>IF($B315="","",$S315)</f>
        <v/>
      </c>
      <c r="H315" s="42">
        <f>IF($I315&lt;=0,"",('Engine'!$B$8*MAX(0,MIN($O315,'Engine'!$B$3)-MAX($O314,'Engine'!$B$2))+'Engine'!$B$9*MAX(0,MIN($O315,'Engine'!$B$5)-MAX($O314,'Engine'!$B$4))+'Engine'!$B$10*MAX(0,MIN($O315,'Engine'!$B$7)-MAX($O314,'Engine'!$B$6)))/100/$H$8/$I315*$H$8*100)</f>
        <v/>
      </c>
      <c r="I315" s="43">
        <f>$O315-$O314</f>
        <v/>
      </c>
      <c r="J315" s="41">
        <f>IF($I315&lt;=0,0,$S314*('Engine'!$B$8*MAX(0,MIN($O315,'Engine'!$B$3)-MAX($O314,'Engine'!$B$2))+'Engine'!$B$9*MAX(0,MIN($O315,'Engine'!$B$5)-MAX($O314,'Engine'!$B$4))+'Engine'!$B$10*MAX(0,MIN($O315,'Engine'!$B$7)-MAX($O314,'Engine'!$B$6)))/100/$H$8)</f>
        <v/>
      </c>
      <c r="K315" s="41">
        <f>IF($B315="","",$T315)</f>
        <v/>
      </c>
      <c r="L315" s="36" t="n"/>
      <c r="M315" s="41">
        <f>IF($L315="","",ROUND($S315-$L315,2))</f>
        <v/>
      </c>
      <c r="N315" s="44">
        <f>IF(AND($H$10&lt;&gt;"",$O315&lt;=$H$10),"LOCKED","OPEN")</f>
        <v/>
      </c>
      <c r="O315" s="25">
        <f>IF($B315="",$O314,$B315)</f>
        <v/>
      </c>
      <c r="S315" s="38">
        <f>$S314-IF($F315="",0,$F315)</f>
        <v/>
      </c>
      <c r="T315" s="38">
        <f>$T314+$J315</f>
        <v/>
      </c>
    </row>
    <row r="316">
      <c r="A316" s="39">
        <f>IF($F316="","",COUNT($F$14:$F316))</f>
        <v/>
      </c>
      <c r="B316" s="8" t="n"/>
      <c r="C316" s="6" t="n"/>
      <c r="D316" s="6" t="n"/>
      <c r="E316" s="40" t="n"/>
      <c r="F316" s="36" t="n"/>
      <c r="G316" s="41">
        <f>IF($B316="","",$S316)</f>
        <v/>
      </c>
      <c r="H316" s="42">
        <f>IF($I316&lt;=0,"",('Engine'!$B$8*MAX(0,MIN($O316,'Engine'!$B$3)-MAX($O315,'Engine'!$B$2))+'Engine'!$B$9*MAX(0,MIN($O316,'Engine'!$B$5)-MAX($O315,'Engine'!$B$4))+'Engine'!$B$10*MAX(0,MIN($O316,'Engine'!$B$7)-MAX($O315,'Engine'!$B$6)))/100/$H$8/$I316*$H$8*100)</f>
        <v/>
      </c>
      <c r="I316" s="43">
        <f>$O316-$O315</f>
        <v/>
      </c>
      <c r="J316" s="41">
        <f>IF($I316&lt;=0,0,$S315*('Engine'!$B$8*MAX(0,MIN($O316,'Engine'!$B$3)-MAX($O315,'Engine'!$B$2))+'Engine'!$B$9*MAX(0,MIN($O316,'Engine'!$B$5)-MAX($O315,'Engine'!$B$4))+'Engine'!$B$10*MAX(0,MIN($O316,'Engine'!$B$7)-MAX($O315,'Engine'!$B$6)))/100/$H$8)</f>
        <v/>
      </c>
      <c r="K316" s="41">
        <f>IF($B316="","",$T316)</f>
        <v/>
      </c>
      <c r="L316" s="36" t="n"/>
      <c r="M316" s="41">
        <f>IF($L316="","",ROUND($S316-$L316,2))</f>
        <v/>
      </c>
      <c r="N316" s="44">
        <f>IF(AND($H$10&lt;&gt;"",$O316&lt;=$H$10),"LOCKED","OPEN")</f>
        <v/>
      </c>
      <c r="O316" s="25">
        <f>IF($B316="",$O315,$B316)</f>
        <v/>
      </c>
      <c r="S316" s="38">
        <f>$S315-IF($F316="",0,$F316)</f>
        <v/>
      </c>
      <c r="T316" s="38">
        <f>$T315+$J316</f>
        <v/>
      </c>
    </row>
    <row r="317">
      <c r="A317" s="39">
        <f>IF($F317="","",COUNT($F$14:$F317))</f>
        <v/>
      </c>
      <c r="B317" s="8" t="n"/>
      <c r="C317" s="6" t="n"/>
      <c r="D317" s="6" t="n"/>
      <c r="E317" s="40" t="n"/>
      <c r="F317" s="36" t="n"/>
      <c r="G317" s="41">
        <f>IF($B317="","",$S317)</f>
        <v/>
      </c>
      <c r="H317" s="42">
        <f>IF($I317&lt;=0,"",('Engine'!$B$8*MAX(0,MIN($O317,'Engine'!$B$3)-MAX($O316,'Engine'!$B$2))+'Engine'!$B$9*MAX(0,MIN($O317,'Engine'!$B$5)-MAX($O316,'Engine'!$B$4))+'Engine'!$B$10*MAX(0,MIN($O317,'Engine'!$B$7)-MAX($O316,'Engine'!$B$6)))/100/$H$8/$I317*$H$8*100)</f>
        <v/>
      </c>
      <c r="I317" s="43">
        <f>$O317-$O316</f>
        <v/>
      </c>
      <c r="J317" s="41">
        <f>IF($I317&lt;=0,0,$S316*('Engine'!$B$8*MAX(0,MIN($O317,'Engine'!$B$3)-MAX($O316,'Engine'!$B$2))+'Engine'!$B$9*MAX(0,MIN($O317,'Engine'!$B$5)-MAX($O316,'Engine'!$B$4))+'Engine'!$B$10*MAX(0,MIN($O317,'Engine'!$B$7)-MAX($O316,'Engine'!$B$6)))/100/$H$8)</f>
        <v/>
      </c>
      <c r="K317" s="41">
        <f>IF($B317="","",$T317)</f>
        <v/>
      </c>
      <c r="L317" s="36" t="n"/>
      <c r="M317" s="41">
        <f>IF($L317="","",ROUND($S317-$L317,2))</f>
        <v/>
      </c>
      <c r="N317" s="44">
        <f>IF(AND($H$10&lt;&gt;"",$O317&lt;=$H$10),"LOCKED","OPEN")</f>
        <v/>
      </c>
      <c r="O317" s="25">
        <f>IF($B317="",$O316,$B317)</f>
        <v/>
      </c>
      <c r="S317" s="38">
        <f>$S316-IF($F317="",0,$F317)</f>
        <v/>
      </c>
      <c r="T317" s="38">
        <f>$T316+$J317</f>
        <v/>
      </c>
    </row>
    <row r="318">
      <c r="A318" s="39">
        <f>IF($F318="","",COUNT($F$14:$F318))</f>
        <v/>
      </c>
      <c r="B318" s="8" t="n"/>
      <c r="C318" s="6" t="n"/>
      <c r="D318" s="6" t="n"/>
      <c r="E318" s="40" t="n"/>
      <c r="F318" s="36" t="n"/>
      <c r="G318" s="41">
        <f>IF($B318="","",$S318)</f>
        <v/>
      </c>
      <c r="H318" s="42">
        <f>IF($I318&lt;=0,"",('Engine'!$B$8*MAX(0,MIN($O318,'Engine'!$B$3)-MAX($O317,'Engine'!$B$2))+'Engine'!$B$9*MAX(0,MIN($O318,'Engine'!$B$5)-MAX($O317,'Engine'!$B$4))+'Engine'!$B$10*MAX(0,MIN($O318,'Engine'!$B$7)-MAX($O317,'Engine'!$B$6)))/100/$H$8/$I318*$H$8*100)</f>
        <v/>
      </c>
      <c r="I318" s="43">
        <f>$O318-$O317</f>
        <v/>
      </c>
      <c r="J318" s="41">
        <f>IF($I318&lt;=0,0,$S317*('Engine'!$B$8*MAX(0,MIN($O318,'Engine'!$B$3)-MAX($O317,'Engine'!$B$2))+'Engine'!$B$9*MAX(0,MIN($O318,'Engine'!$B$5)-MAX($O317,'Engine'!$B$4))+'Engine'!$B$10*MAX(0,MIN($O318,'Engine'!$B$7)-MAX($O317,'Engine'!$B$6)))/100/$H$8)</f>
        <v/>
      </c>
      <c r="K318" s="41">
        <f>IF($B318="","",$T318)</f>
        <v/>
      </c>
      <c r="L318" s="36" t="n"/>
      <c r="M318" s="41">
        <f>IF($L318="","",ROUND($S318-$L318,2))</f>
        <v/>
      </c>
      <c r="N318" s="44">
        <f>IF(AND($H$10&lt;&gt;"",$O318&lt;=$H$10),"LOCKED","OPEN")</f>
        <v/>
      </c>
      <c r="O318" s="25">
        <f>IF($B318="",$O317,$B318)</f>
        <v/>
      </c>
      <c r="S318" s="38">
        <f>$S317-IF($F318="",0,$F318)</f>
        <v/>
      </c>
      <c r="T318" s="38">
        <f>$T317+$J318</f>
        <v/>
      </c>
    </row>
    <row r="319">
      <c r="A319" s="39">
        <f>IF($F319="","",COUNT($F$14:$F319))</f>
        <v/>
      </c>
      <c r="B319" s="8" t="n"/>
      <c r="C319" s="6" t="n"/>
      <c r="D319" s="6" t="n"/>
      <c r="E319" s="40" t="n"/>
      <c r="F319" s="36" t="n"/>
      <c r="G319" s="41">
        <f>IF($B319="","",$S319)</f>
        <v/>
      </c>
      <c r="H319" s="42">
        <f>IF($I319&lt;=0,"",('Engine'!$B$8*MAX(0,MIN($O319,'Engine'!$B$3)-MAX($O318,'Engine'!$B$2))+'Engine'!$B$9*MAX(0,MIN($O319,'Engine'!$B$5)-MAX($O318,'Engine'!$B$4))+'Engine'!$B$10*MAX(0,MIN($O319,'Engine'!$B$7)-MAX($O318,'Engine'!$B$6)))/100/$H$8/$I319*$H$8*100)</f>
        <v/>
      </c>
      <c r="I319" s="43">
        <f>$O319-$O318</f>
        <v/>
      </c>
      <c r="J319" s="41">
        <f>IF($I319&lt;=0,0,$S318*('Engine'!$B$8*MAX(0,MIN($O319,'Engine'!$B$3)-MAX($O318,'Engine'!$B$2))+'Engine'!$B$9*MAX(0,MIN($O319,'Engine'!$B$5)-MAX($O318,'Engine'!$B$4))+'Engine'!$B$10*MAX(0,MIN($O319,'Engine'!$B$7)-MAX($O318,'Engine'!$B$6)))/100/$H$8)</f>
        <v/>
      </c>
      <c r="K319" s="41">
        <f>IF($B319="","",$T319)</f>
        <v/>
      </c>
      <c r="L319" s="36" t="n"/>
      <c r="M319" s="41">
        <f>IF($L319="","",ROUND($S319-$L319,2))</f>
        <v/>
      </c>
      <c r="N319" s="44">
        <f>IF(AND($H$10&lt;&gt;"",$O319&lt;=$H$10),"LOCKED","OPEN")</f>
        <v/>
      </c>
      <c r="O319" s="25">
        <f>IF($B319="",$O318,$B319)</f>
        <v/>
      </c>
      <c r="S319" s="38">
        <f>$S318-IF($F319="",0,$F319)</f>
        <v/>
      </c>
      <c r="T319" s="38">
        <f>$T318+$J319</f>
        <v/>
      </c>
    </row>
    <row r="320">
      <c r="A320" s="39">
        <f>IF($F320="","",COUNT($F$14:$F320))</f>
        <v/>
      </c>
      <c r="B320" s="8" t="n"/>
      <c r="C320" s="6" t="n"/>
      <c r="D320" s="6" t="n"/>
      <c r="E320" s="40" t="n"/>
      <c r="F320" s="36" t="n"/>
      <c r="G320" s="41">
        <f>IF($B320="","",$S320)</f>
        <v/>
      </c>
      <c r="H320" s="42">
        <f>IF($I320&lt;=0,"",('Engine'!$B$8*MAX(0,MIN($O320,'Engine'!$B$3)-MAX($O319,'Engine'!$B$2))+'Engine'!$B$9*MAX(0,MIN($O320,'Engine'!$B$5)-MAX($O319,'Engine'!$B$4))+'Engine'!$B$10*MAX(0,MIN($O320,'Engine'!$B$7)-MAX($O319,'Engine'!$B$6)))/100/$H$8/$I320*$H$8*100)</f>
        <v/>
      </c>
      <c r="I320" s="43">
        <f>$O320-$O319</f>
        <v/>
      </c>
      <c r="J320" s="41">
        <f>IF($I320&lt;=0,0,$S319*('Engine'!$B$8*MAX(0,MIN($O320,'Engine'!$B$3)-MAX($O319,'Engine'!$B$2))+'Engine'!$B$9*MAX(0,MIN($O320,'Engine'!$B$5)-MAX($O319,'Engine'!$B$4))+'Engine'!$B$10*MAX(0,MIN($O320,'Engine'!$B$7)-MAX($O319,'Engine'!$B$6)))/100/$H$8)</f>
        <v/>
      </c>
      <c r="K320" s="41">
        <f>IF($B320="","",$T320)</f>
        <v/>
      </c>
      <c r="L320" s="36" t="n"/>
      <c r="M320" s="41">
        <f>IF($L320="","",ROUND($S320-$L320,2))</f>
        <v/>
      </c>
      <c r="N320" s="44">
        <f>IF(AND($H$10&lt;&gt;"",$O320&lt;=$H$10),"LOCKED","OPEN")</f>
        <v/>
      </c>
      <c r="O320" s="25">
        <f>IF($B320="",$O319,$B320)</f>
        <v/>
      </c>
      <c r="S320" s="38">
        <f>$S319-IF($F320="",0,$F320)</f>
        <v/>
      </c>
      <c r="T320" s="38">
        <f>$T319+$J320</f>
        <v/>
      </c>
    </row>
    <row r="321">
      <c r="A321" s="39">
        <f>IF($F321="","",COUNT($F$14:$F321))</f>
        <v/>
      </c>
      <c r="B321" s="8" t="n"/>
      <c r="C321" s="6" t="n"/>
      <c r="D321" s="6" t="n"/>
      <c r="E321" s="40" t="n"/>
      <c r="F321" s="36" t="n"/>
      <c r="G321" s="41">
        <f>IF($B321="","",$S321)</f>
        <v/>
      </c>
      <c r="H321" s="42">
        <f>IF($I321&lt;=0,"",('Engine'!$B$8*MAX(0,MIN($O321,'Engine'!$B$3)-MAX($O320,'Engine'!$B$2))+'Engine'!$B$9*MAX(0,MIN($O321,'Engine'!$B$5)-MAX($O320,'Engine'!$B$4))+'Engine'!$B$10*MAX(0,MIN($O321,'Engine'!$B$7)-MAX($O320,'Engine'!$B$6)))/100/$H$8/$I321*$H$8*100)</f>
        <v/>
      </c>
      <c r="I321" s="43">
        <f>$O321-$O320</f>
        <v/>
      </c>
      <c r="J321" s="41">
        <f>IF($I321&lt;=0,0,$S320*('Engine'!$B$8*MAX(0,MIN($O321,'Engine'!$B$3)-MAX($O320,'Engine'!$B$2))+'Engine'!$B$9*MAX(0,MIN($O321,'Engine'!$B$5)-MAX($O320,'Engine'!$B$4))+'Engine'!$B$10*MAX(0,MIN($O321,'Engine'!$B$7)-MAX($O320,'Engine'!$B$6)))/100/$H$8)</f>
        <v/>
      </c>
      <c r="K321" s="41">
        <f>IF($B321="","",$T321)</f>
        <v/>
      </c>
      <c r="L321" s="36" t="n"/>
      <c r="M321" s="41">
        <f>IF($L321="","",ROUND($S321-$L321,2))</f>
        <v/>
      </c>
      <c r="N321" s="44">
        <f>IF(AND($H$10&lt;&gt;"",$O321&lt;=$H$10),"LOCKED","OPEN")</f>
        <v/>
      </c>
      <c r="O321" s="25">
        <f>IF($B321="",$O320,$B321)</f>
        <v/>
      </c>
      <c r="S321" s="38">
        <f>$S320-IF($F321="",0,$F321)</f>
        <v/>
      </c>
      <c r="T321" s="38">
        <f>$T320+$J321</f>
        <v/>
      </c>
    </row>
    <row r="322">
      <c r="A322" s="39">
        <f>IF($F322="","",COUNT($F$14:$F322))</f>
        <v/>
      </c>
      <c r="B322" s="8" t="n"/>
      <c r="C322" s="6" t="n"/>
      <c r="D322" s="6" t="n"/>
      <c r="E322" s="40" t="n"/>
      <c r="F322" s="36" t="n"/>
      <c r="G322" s="41">
        <f>IF($B322="","",$S322)</f>
        <v/>
      </c>
      <c r="H322" s="42">
        <f>IF($I322&lt;=0,"",('Engine'!$B$8*MAX(0,MIN($O322,'Engine'!$B$3)-MAX($O321,'Engine'!$B$2))+'Engine'!$B$9*MAX(0,MIN($O322,'Engine'!$B$5)-MAX($O321,'Engine'!$B$4))+'Engine'!$B$10*MAX(0,MIN($O322,'Engine'!$B$7)-MAX($O321,'Engine'!$B$6)))/100/$H$8/$I322*$H$8*100)</f>
        <v/>
      </c>
      <c r="I322" s="43">
        <f>$O322-$O321</f>
        <v/>
      </c>
      <c r="J322" s="41">
        <f>IF($I322&lt;=0,0,$S321*('Engine'!$B$8*MAX(0,MIN($O322,'Engine'!$B$3)-MAX($O321,'Engine'!$B$2))+'Engine'!$B$9*MAX(0,MIN($O322,'Engine'!$B$5)-MAX($O321,'Engine'!$B$4))+'Engine'!$B$10*MAX(0,MIN($O322,'Engine'!$B$7)-MAX($O321,'Engine'!$B$6)))/100/$H$8)</f>
        <v/>
      </c>
      <c r="K322" s="41">
        <f>IF($B322="","",$T322)</f>
        <v/>
      </c>
      <c r="L322" s="36" t="n"/>
      <c r="M322" s="41">
        <f>IF($L322="","",ROUND($S322-$L322,2))</f>
        <v/>
      </c>
      <c r="N322" s="44">
        <f>IF(AND($H$10&lt;&gt;"",$O322&lt;=$H$10),"LOCKED","OPEN")</f>
        <v/>
      </c>
      <c r="O322" s="25">
        <f>IF($B322="",$O321,$B322)</f>
        <v/>
      </c>
      <c r="S322" s="38">
        <f>$S321-IF($F322="",0,$F322)</f>
        <v/>
      </c>
      <c r="T322" s="38">
        <f>$T321+$J322</f>
        <v/>
      </c>
    </row>
    <row r="323">
      <c r="A323" s="39">
        <f>IF($F323="","",COUNT($F$14:$F323))</f>
        <v/>
      </c>
      <c r="B323" s="8" t="n"/>
      <c r="C323" s="6" t="n"/>
      <c r="D323" s="6" t="n"/>
      <c r="E323" s="40" t="n"/>
      <c r="F323" s="36" t="n"/>
      <c r="G323" s="41">
        <f>IF($B323="","",$S323)</f>
        <v/>
      </c>
      <c r="H323" s="42">
        <f>IF($I323&lt;=0,"",('Engine'!$B$8*MAX(0,MIN($O323,'Engine'!$B$3)-MAX($O322,'Engine'!$B$2))+'Engine'!$B$9*MAX(0,MIN($O323,'Engine'!$B$5)-MAX($O322,'Engine'!$B$4))+'Engine'!$B$10*MAX(0,MIN($O323,'Engine'!$B$7)-MAX($O322,'Engine'!$B$6)))/100/$H$8/$I323*$H$8*100)</f>
        <v/>
      </c>
      <c r="I323" s="43">
        <f>$O323-$O322</f>
        <v/>
      </c>
      <c r="J323" s="41">
        <f>IF($I323&lt;=0,0,$S322*('Engine'!$B$8*MAX(0,MIN($O323,'Engine'!$B$3)-MAX($O322,'Engine'!$B$2))+'Engine'!$B$9*MAX(0,MIN($O323,'Engine'!$B$5)-MAX($O322,'Engine'!$B$4))+'Engine'!$B$10*MAX(0,MIN($O323,'Engine'!$B$7)-MAX($O322,'Engine'!$B$6)))/100/$H$8)</f>
        <v/>
      </c>
      <c r="K323" s="41">
        <f>IF($B323="","",$T323)</f>
        <v/>
      </c>
      <c r="L323" s="36" t="n"/>
      <c r="M323" s="41">
        <f>IF($L323="","",ROUND($S323-$L323,2))</f>
        <v/>
      </c>
      <c r="N323" s="44">
        <f>IF(AND($H$10&lt;&gt;"",$O323&lt;=$H$10),"LOCKED","OPEN")</f>
        <v/>
      </c>
      <c r="O323" s="25">
        <f>IF($B323="",$O322,$B323)</f>
        <v/>
      </c>
      <c r="S323" s="38">
        <f>$S322-IF($F323="",0,$F323)</f>
        <v/>
      </c>
      <c r="T323" s="38">
        <f>$T322+$J323</f>
        <v/>
      </c>
    </row>
    <row r="324">
      <c r="A324" s="39">
        <f>IF($F324="","",COUNT($F$14:$F324))</f>
        <v/>
      </c>
      <c r="B324" s="8" t="n"/>
      <c r="C324" s="6" t="n"/>
      <c r="D324" s="6" t="n"/>
      <c r="E324" s="40" t="n"/>
      <c r="F324" s="36" t="n"/>
      <c r="G324" s="41">
        <f>IF($B324="","",$S324)</f>
        <v/>
      </c>
      <c r="H324" s="42">
        <f>IF($I324&lt;=0,"",('Engine'!$B$8*MAX(0,MIN($O324,'Engine'!$B$3)-MAX($O323,'Engine'!$B$2))+'Engine'!$B$9*MAX(0,MIN($O324,'Engine'!$B$5)-MAX($O323,'Engine'!$B$4))+'Engine'!$B$10*MAX(0,MIN($O324,'Engine'!$B$7)-MAX($O323,'Engine'!$B$6)))/100/$H$8/$I324*$H$8*100)</f>
        <v/>
      </c>
      <c r="I324" s="43">
        <f>$O324-$O323</f>
        <v/>
      </c>
      <c r="J324" s="41">
        <f>IF($I324&lt;=0,0,$S323*('Engine'!$B$8*MAX(0,MIN($O324,'Engine'!$B$3)-MAX($O323,'Engine'!$B$2))+'Engine'!$B$9*MAX(0,MIN($O324,'Engine'!$B$5)-MAX($O323,'Engine'!$B$4))+'Engine'!$B$10*MAX(0,MIN($O324,'Engine'!$B$7)-MAX($O323,'Engine'!$B$6)))/100/$H$8)</f>
        <v/>
      </c>
      <c r="K324" s="41">
        <f>IF($B324="","",$T324)</f>
        <v/>
      </c>
      <c r="L324" s="36" t="n"/>
      <c r="M324" s="41">
        <f>IF($L324="","",ROUND($S324-$L324,2))</f>
        <v/>
      </c>
      <c r="N324" s="44">
        <f>IF(AND($H$10&lt;&gt;"",$O324&lt;=$H$10),"LOCKED","OPEN")</f>
        <v/>
      </c>
      <c r="O324" s="25">
        <f>IF($B324="",$O323,$B324)</f>
        <v/>
      </c>
      <c r="S324" s="38">
        <f>$S323-IF($F324="",0,$F324)</f>
        <v/>
      </c>
      <c r="T324" s="38">
        <f>$T323+$J324</f>
        <v/>
      </c>
    </row>
    <row r="325">
      <c r="A325" s="45" t="inlineStr">
        <is>
          <t>INT</t>
        </is>
      </c>
      <c r="B325" s="46">
        <f>$Q$313</f>
        <v/>
      </c>
      <c r="C325" s="47" t="n"/>
      <c r="D325" s="48">
        <f>"Interest for the quarter debited &amp; capitalised   ·   rate(s) applied :  "&amp;$R$313</f>
        <v/>
      </c>
      <c r="E325" s="49">
        <f>ROUND($T324+$J325,2)</f>
        <v/>
      </c>
      <c r="F325" s="50" t="n"/>
      <c r="G325" s="49">
        <f>$S325</f>
        <v/>
      </c>
      <c r="H325" s="51">
        <f>IF($I325&lt;=0,"",('Engine'!$B$8*MAX(0,MIN($O325,'Engine'!$B$3)-MAX($O324,'Engine'!$B$2))+'Engine'!$B$9*MAX(0,MIN($O325,'Engine'!$B$5)-MAX($O324,'Engine'!$B$4))+'Engine'!$B$10*MAX(0,MIN($O325,'Engine'!$B$7)-MAX($O324,'Engine'!$B$6)))/100/$H$8/$I325*$H$8*100)</f>
        <v/>
      </c>
      <c r="I325" s="52">
        <f>$O325-$O324</f>
        <v/>
      </c>
      <c r="J325" s="53">
        <f>IF($I325&lt;=0,0,$S324*('Engine'!$B$8*MAX(0,MIN($O325,'Engine'!$B$3)-MAX($O324,'Engine'!$B$2))+'Engine'!$B$9*MAX(0,MIN($O325,'Engine'!$B$5)-MAX($O324,'Engine'!$B$4))+'Engine'!$B$10*MAX(0,MIN($O325,'Engine'!$B$7)-MAX($O324,'Engine'!$B$6)))/100/$H$8)</f>
        <v/>
      </c>
      <c r="K325" s="53" t="n">
        <v>0</v>
      </c>
      <c r="L325" s="36" t="n"/>
      <c r="M325" s="53">
        <f>IF($L325="","",ROUND($S325-$L325,2))</f>
        <v/>
      </c>
      <c r="N325" s="54">
        <f>IF(AND($H$10&lt;&gt;"",$O325&lt;=$H$10),"LOCKED","OPEN")</f>
        <v/>
      </c>
      <c r="O325" s="25">
        <f>$Q$313</f>
        <v/>
      </c>
      <c r="S325" s="38">
        <f>$S324+$E325</f>
        <v/>
      </c>
      <c r="T325" s="38" t="n">
        <v>0</v>
      </c>
    </row>
  </sheetData>
  <sheetProtection selectLockedCells="0" selectUnlockedCells="0" sheet="1" objects="0" insertRows="1" insertHyperlinks="1" autoFilter="1" scenarios="0" formatColumns="1" deleteColumns="1" insertColumns="1" pivotTables="1" deleteRows="1" formatCells="1" formatRows="1" sort="1" password="F569"/>
  <mergeCells count="56">
    <mergeCell ref="A40:N40"/>
    <mergeCell ref="F11:G11"/>
    <mergeCell ref="A261:N261"/>
    <mergeCell ref="F10:G10"/>
    <mergeCell ref="H10:I10"/>
    <mergeCell ref="J5:N5"/>
    <mergeCell ref="A11:B11"/>
    <mergeCell ref="A92:N92"/>
    <mergeCell ref="A157:N157"/>
    <mergeCell ref="C9:E9"/>
    <mergeCell ref="A222:N222"/>
    <mergeCell ref="J10:N10"/>
    <mergeCell ref="F6:G6"/>
    <mergeCell ref="A287:N287"/>
    <mergeCell ref="A300:N300"/>
    <mergeCell ref="A6:B6"/>
    <mergeCell ref="H9:I9"/>
    <mergeCell ref="F7:G7"/>
    <mergeCell ref="A1:N1"/>
    <mergeCell ref="A79:N79"/>
    <mergeCell ref="C11:E11"/>
    <mergeCell ref="H6:I6"/>
    <mergeCell ref="A7:B7"/>
    <mergeCell ref="C8:E8"/>
    <mergeCell ref="A183:N183"/>
    <mergeCell ref="A196:N196"/>
    <mergeCell ref="C7:E7"/>
    <mergeCell ref="A66:N66"/>
    <mergeCell ref="F8:G8"/>
    <mergeCell ref="A118:N118"/>
    <mergeCell ref="H11:I11"/>
    <mergeCell ref="A27:N27"/>
    <mergeCell ref="A3:N3"/>
    <mergeCell ref="A105:N105"/>
    <mergeCell ref="J11:N11"/>
    <mergeCell ref="H7:I7"/>
    <mergeCell ref="A2:N2"/>
    <mergeCell ref="A248:N248"/>
    <mergeCell ref="A5:E5"/>
    <mergeCell ref="A235:N235"/>
    <mergeCell ref="A313:N313"/>
    <mergeCell ref="F5:I5"/>
    <mergeCell ref="A8:B8"/>
    <mergeCell ref="A14:N14"/>
    <mergeCell ref="F9:G9"/>
    <mergeCell ref="C6:E6"/>
    <mergeCell ref="A144:N144"/>
    <mergeCell ref="A53:N53"/>
    <mergeCell ref="A131:N131"/>
    <mergeCell ref="A209:N209"/>
    <mergeCell ref="A10:B10"/>
    <mergeCell ref="A274:N274"/>
    <mergeCell ref="A170:N170"/>
    <mergeCell ref="H8:I8"/>
    <mergeCell ref="A9:B9"/>
    <mergeCell ref="C10:E10"/>
  </mergeCells>
  <conditionalFormatting sqref="A14:N325">
    <cfRule type="expression" priority="1" dxfId="0" stopIfTrue="0">
      <formula>$N14="LOCKED"</formula>
    </cfRule>
  </conditionalFormatting>
  <conditionalFormatting sqref="M14:M325">
    <cfRule type="expression" priority="2" dxfId="1">
      <formula>AND($M14&lt;&gt;"",ABS($M14)&gt;0.004)</formula>
    </cfRule>
  </conditionalFormatting>
  <conditionalFormatting sqref="G14:G325">
    <cfRule type="expression" priority="3" dxfId="2">
      <formula>$G14&lt;-0.004</formula>
    </cfRule>
  </conditionalFormatting>
  <conditionalFormatting sqref="H6">
    <cfRule type="expression" priority="4" dxfId="3">
      <formula>H6=""</formula>
    </cfRule>
  </conditionalFormatting>
  <conditionalFormatting sqref="H7">
    <cfRule type="expression" priority="5" dxfId="3">
      <formula>H7=""</formula>
    </cfRule>
  </conditionalFormatting>
  <conditionalFormatting sqref="L7">
    <cfRule type="expression" priority="6" dxfId="3">
      <formula>L7=""</formula>
    </cfRule>
  </conditionalFormatting>
  <conditionalFormatting sqref="H8">
    <cfRule type="expression" priority="7" dxfId="3">
      <formula>H8=""</formula>
    </cfRule>
  </conditionalFormatting>
  <conditionalFormatting sqref="H9">
    <cfRule type="expression" priority="8" dxfId="3">
      <formula>H9=""</formula>
    </cfRule>
  </conditionalFormatting>
  <dataValidations count="80">
    <dataValidation sqref="H6" showDropDown="0" showInputMessage="1" showErrorMessage="1" allowBlank="1" errorTitle="Enter a valid date" error="Type the date the opening balance is brought forward from, e.g. 17-11-2024." promptTitle="Balance B/F date" prompt="Date on which the opening balance stands." type="date" errorStyle="stop" operator="between">
      <formula1>DATE(1990,1,1)</formula1>
      <formula2>DATE(2100,12,31)</formula2>
    </dataValidation>
    <dataValidation sqref="H7" showDropDown="0" showInputMessage="1" showErrorMessage="1" allowBlank="1" errorTitle="Amount must be a number" error="Enter the outstanding loan amount brought forward (0 or more)." promptTitle="Balance B/F amount" prompt="Opening outstanding principal." type="decimal" errorStyle="stop" operator="greaterThanOrEqual">
      <formula1>0</formula1>
    </dataValidation>
    <dataValidation sqref="H8" showDropDown="0" showInputMessage="1" showErrorMessage="1" allowBlank="1" errorTitle="Choose 365, 366 or 360" error="Pick the day-count basis your bank uses." promptTitle="Day basis" prompt="Days in a year used for interest (usually 365)." type="list" errorStyle="stop">
      <formula1>"365,366,360"</formula1>
    </dataValidation>
    <dataValidation sqref="H9" showDropDown="0" showInputMessage="1" showErrorMessage="1" allowBlank="1" errorTitle="Choose from the list" error="Pick calendar quarter-ends (31 Mar / 30 Jun / 30 Sep / 31 Dec) or quarters counted from the B/F date." promptTitle="Quarter-end convention" prompt="How quarter-end dates are generated." type="list" errorStyle="stop">
      <formula1>"Calendar quarter-ends,3 months from B/F date"</formula1>
    </dataValidation>
    <dataValidation sqref="H10" showDropDown="0" showInputMessage="1" showErrorMessage="1" allowBlank="1" errorTitle="Invalid lock date" error="The lock date must be a real date, on/after the B/F date and not in the future. It can only be moved forward as you reconcile with the bank." promptTitle="Locked / reconciled up to" prompt="Everything dated on or before this date is frozen: no entries, no rate revisions." type="custom" errorStyle="stop">
      <formula1>AND(ISNUMBER(H10),H10&gt;=$H$6,H10&lt;=TODAY())</formula1>
    </dataValidation>
    <dataValidation sqref="L7:L9" showDropDown="0" showInputMessage="1" showErrorMessage="1" allowBlank="1" errorTitle="Rate out of range" error="Enter the annual rate in percent, e.g. 9.5 for 9.50% p.a." promptTitle="Interest rate % p.a." prompt="Annual rate in percent, e.g. 9.5" type="decimal" errorStyle="stop" operator="between">
      <formula1>0</formula1>
      <formula2>100</formula2>
    </dataValidation>
    <dataValidation sqref="K8" showDropDown="0" showInputMessage="1" showErrorMessage="1" allowBlank="1" errorTitle="Revision cannot be back-dated" error="A revised rate must take effect AFTER the B/F date, AFTER the ‘Locked / reconciled up to’ date, and before the next revision. Periods already calculated at the earlier rate stay untouched." promptTitle="1st revision effective from" prompt="Date the revised rate starts. Must be later than the locked-up-to date." type="custom" errorStyle="stop">
      <formula1>AND(ISNUMBER(K8),K8&gt;$H$6,K8&gt;$H$10,OR(K9="",K8&lt;K9))</formula1>
    </dataValidation>
    <dataValidation sqref="K9" showDropDown="0" showInputMessage="1" showErrorMessage="1" allowBlank="1" errorTitle="Revision cannot be back-dated" error="Fill slot 2 first. The 2nd revision must take effect after the 1st revision and after the ‘Locked / reconciled up to’ date." promptTitle="2nd revision effective from" prompt="Date the second revised rate starts." type="custom" errorStyle="stop">
      <formula1>AND(ISNUMBER(K9),K9&gt;$H$10,K8&lt;&gt;"",K9&gt;K8)</formula1>
    </dataValidation>
    <dataValidation sqref="B16:B25"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AND(ISNUMBER($B16),$B16&gt;=$O15,$B16&lt;=$Q$14,$B16&gt;$H$10)</formula1>
    </dataValidation>
    <dataValidation sqref="F16:F25"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AND(ISNUMBER($F16),$F16&gt;0,ISNUMBER($B16))</formula1>
    </dataValidation>
    <dataValidation sqref="L15:L26"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ISNUMBER($L15)</formula1>
    </dataValidation>
    <dataValidation sqref="B29:B38"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AND(ISNUMBER($B29),$B29&gt;=$O28,$B29&lt;=$Q$27,$B29&gt;$H$10)</formula1>
    </dataValidation>
    <dataValidation sqref="F29:F38"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AND(ISNUMBER($F29),$F29&gt;0,ISNUMBER($B29))</formula1>
    </dataValidation>
    <dataValidation sqref="L28:L39"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ISNUMBER($L28)</formula1>
    </dataValidation>
    <dataValidation sqref="B42:B51"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AND(ISNUMBER($B42),$B42&gt;=$O41,$B42&lt;=$Q$40,$B42&gt;$H$10)</formula1>
    </dataValidation>
    <dataValidation sqref="F42:F51"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AND(ISNUMBER($F42),$F42&gt;0,ISNUMBER($B42))</formula1>
    </dataValidation>
    <dataValidation sqref="L41:L52"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ISNUMBER($L41)</formula1>
    </dataValidation>
    <dataValidation sqref="B55:B64"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AND(ISNUMBER($B55),$B55&gt;=$O54,$B55&lt;=$Q$53,$B55&gt;$H$10)</formula1>
    </dataValidation>
    <dataValidation sqref="F55:F64"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AND(ISNUMBER($F55),$F55&gt;0,ISNUMBER($B55))</formula1>
    </dataValidation>
    <dataValidation sqref="L54:L65"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ISNUMBER($L54)</formula1>
    </dataValidation>
    <dataValidation sqref="B68:B77"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AND(ISNUMBER($B68),$B68&gt;=$O67,$B68&lt;=$Q$66,$B68&gt;$H$10)</formula1>
    </dataValidation>
    <dataValidation sqref="F68:F77"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AND(ISNUMBER($F68),$F68&gt;0,ISNUMBER($B68))</formula1>
    </dataValidation>
    <dataValidation sqref="L67:L78"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ISNUMBER($L67)</formula1>
    </dataValidation>
    <dataValidation sqref="B81:B90"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AND(ISNUMBER($B81),$B81&gt;=$O80,$B81&lt;=$Q$79,$B81&gt;$H$10)</formula1>
    </dataValidation>
    <dataValidation sqref="F81:F90"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AND(ISNUMBER($F81),$F81&gt;0,ISNUMBER($B81))</formula1>
    </dataValidation>
    <dataValidation sqref="L80:L91"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ISNUMBER($L80)</formula1>
    </dataValidation>
    <dataValidation sqref="B94:B103"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AND(ISNUMBER($B94),$B94&gt;=$O93,$B94&lt;=$Q$92,$B94&gt;$H$10)</formula1>
    </dataValidation>
    <dataValidation sqref="F94:F103"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AND(ISNUMBER($F94),$F94&gt;0,ISNUMBER($B94))</formula1>
    </dataValidation>
    <dataValidation sqref="L93:L104"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ISNUMBER($L93)</formula1>
    </dataValidation>
    <dataValidation sqref="B107:B116"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AND(ISNUMBER($B107),$B107&gt;=$O106,$B107&lt;=$Q$105,$B107&gt;$H$10)</formula1>
    </dataValidation>
    <dataValidation sqref="F107:F116"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AND(ISNUMBER($F107),$F107&gt;0,ISNUMBER($B107))</formula1>
    </dataValidation>
    <dataValidation sqref="L106:L117"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ISNUMBER($L106)</formula1>
    </dataValidation>
    <dataValidation sqref="B120:B129"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AND(ISNUMBER($B120),$B120&gt;=$O119,$B120&lt;=$Q$118,$B120&gt;$H$10)</formula1>
    </dataValidation>
    <dataValidation sqref="F120:F129"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AND(ISNUMBER($F120),$F120&gt;0,ISNUMBER($B120))</formula1>
    </dataValidation>
    <dataValidation sqref="L119:L130"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ISNUMBER($L119)</formula1>
    </dataValidation>
    <dataValidation sqref="B133:B142"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AND(ISNUMBER($B133),$B133&gt;=$O132,$B133&lt;=$Q$131,$B133&gt;$H$10)</formula1>
    </dataValidation>
    <dataValidation sqref="F133:F142"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AND(ISNUMBER($F133),$F133&gt;0,ISNUMBER($B133))</formula1>
    </dataValidation>
    <dataValidation sqref="L132:L143"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ISNUMBER($L132)</formula1>
    </dataValidation>
    <dataValidation sqref="B146:B155"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AND(ISNUMBER($B146),$B146&gt;=$O145,$B146&lt;=$Q$144,$B146&gt;$H$10)</formula1>
    </dataValidation>
    <dataValidation sqref="F146:F155"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AND(ISNUMBER($F146),$F146&gt;0,ISNUMBER($B146))</formula1>
    </dataValidation>
    <dataValidation sqref="L145:L156"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ISNUMBER($L145)</formula1>
    </dataValidation>
    <dataValidation sqref="B159:B168"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AND(ISNUMBER($B159),$B159&gt;=$O158,$B159&lt;=$Q$157,$B159&gt;$H$10)</formula1>
    </dataValidation>
    <dataValidation sqref="F159:F168"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AND(ISNUMBER($F159),$F159&gt;0,ISNUMBER($B159))</formula1>
    </dataValidation>
    <dataValidation sqref="L158:L169"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ISNUMBER($L158)</formula1>
    </dataValidation>
    <dataValidation sqref="B172:B181"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AND(ISNUMBER($B172),$B172&gt;=$O171,$B172&lt;=$Q$170,$B172&gt;$H$10)</formula1>
    </dataValidation>
    <dataValidation sqref="F172:F181"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AND(ISNUMBER($F172),$F172&gt;0,ISNUMBER($B172))</formula1>
    </dataValidation>
    <dataValidation sqref="L171:L182"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ISNUMBER($L171)</formula1>
    </dataValidation>
    <dataValidation sqref="B185:B194"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AND(ISNUMBER($B185),$B185&gt;=$O184,$B185&lt;=$Q$183,$B185&gt;$H$10)</formula1>
    </dataValidation>
    <dataValidation sqref="F185:F194"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AND(ISNUMBER($F185),$F185&gt;0,ISNUMBER($B185))</formula1>
    </dataValidation>
    <dataValidation sqref="L184:L195"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ISNUMBER($L184)</formula1>
    </dataValidation>
    <dataValidation sqref="B198:B207"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AND(ISNUMBER($B198),$B198&gt;=$O197,$B198&lt;=$Q$196,$B198&gt;$H$10)</formula1>
    </dataValidation>
    <dataValidation sqref="F198:F207"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AND(ISNUMBER($F198),$F198&gt;0,ISNUMBER($B198))</formula1>
    </dataValidation>
    <dataValidation sqref="L197:L208"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ISNUMBER($L197)</formula1>
    </dataValidation>
    <dataValidation sqref="B211:B220"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AND(ISNUMBER($B211),$B211&gt;=$O210,$B211&lt;=$Q$209,$B211&gt;$H$10)</formula1>
    </dataValidation>
    <dataValidation sqref="F211:F220"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AND(ISNUMBER($F211),$F211&gt;0,ISNUMBER($B211))</formula1>
    </dataValidation>
    <dataValidation sqref="L210:L221"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ISNUMBER($L210)</formula1>
    </dataValidation>
    <dataValidation sqref="B224:B233"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AND(ISNUMBER($B224),$B224&gt;=$O223,$B224&lt;=$Q$222,$B224&gt;$H$10)</formula1>
    </dataValidation>
    <dataValidation sqref="F224:F233"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AND(ISNUMBER($F224),$F224&gt;0,ISNUMBER($B224))</formula1>
    </dataValidation>
    <dataValidation sqref="L223:L234"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ISNUMBER($L223)</formula1>
    </dataValidation>
    <dataValidation sqref="B237:B246"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AND(ISNUMBER($B237),$B237&gt;=$O236,$B237&lt;=$Q$235,$B237&gt;$H$10)</formula1>
    </dataValidation>
    <dataValidation sqref="F237:F246"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AND(ISNUMBER($F237),$F237&gt;0,ISNUMBER($B237))</formula1>
    </dataValidation>
    <dataValidation sqref="L236:L247"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ISNUMBER($L236)</formula1>
    </dataValidation>
    <dataValidation sqref="B250:B259"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AND(ISNUMBER($B250),$B250&gt;=$O249,$B250&lt;=$Q$248,$B250&gt;$H$10)</formula1>
    </dataValidation>
    <dataValidation sqref="F250:F259"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AND(ISNUMBER($F250),$F250&gt;0,ISNUMBER($B250))</formula1>
    </dataValidation>
    <dataValidation sqref="L249:L260"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ISNUMBER($L249)</formula1>
    </dataValidation>
    <dataValidation sqref="B263:B272"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AND(ISNUMBER($B263),$B263&gt;=$O262,$B263&lt;=$Q$261,$B263&gt;$H$10)</formula1>
    </dataValidation>
    <dataValidation sqref="F263:F272"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AND(ISNUMBER($F263),$F263&gt;0,ISNUMBER($B263))</formula1>
    </dataValidation>
    <dataValidation sqref="L262:L273"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ISNUMBER($L262)</formula1>
    </dataValidation>
    <dataValidation sqref="B276:B285"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AND(ISNUMBER($B276),$B276&gt;=$O275,$B276&lt;=$Q$274,$B276&gt;$H$10)</formula1>
    </dataValidation>
    <dataValidation sqref="F276:F285"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AND(ISNUMBER($F276),$F276&gt;0,ISNUMBER($B276))</formula1>
    </dataValidation>
    <dataValidation sqref="L275:L286"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ISNUMBER($L275)</formula1>
    </dataValidation>
    <dataValidation sqref="B289:B298"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AND(ISNUMBER($B289),$B289&gt;=$O288,$B289&lt;=$Q$287,$B289&gt;$H$10)</formula1>
    </dataValidation>
    <dataValidation sqref="F289:F298"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AND(ISNUMBER($F289),$F289&gt;0,ISNUMBER($B289))</formula1>
    </dataValidation>
    <dataValidation sqref="L288:L299"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ISNUMBER($L288)</formula1>
    </dataValidation>
    <dataValidation sqref="B302:B311"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AND(ISNUMBER($B302),$B302&gt;=$O301,$B302&lt;=$Q$300,$B302&gt;$H$10)</formula1>
    </dataValidation>
    <dataValidation sqref="F302:F311"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AND(ISNUMBER($F302),$F302&gt;0,ISNUMBER($B302))</formula1>
    </dataValidation>
    <dataValidation sqref="L301:L312"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ISNUMBER($L301)</formula1>
    </dataValidation>
    <dataValidation sqref="B315:B324" showDropDown="0" showInputMessage="1" showErrorMessage="1" allowBlank="1" errorTitle="Date not allowed in this quarter" error="The date must fall inside the quarter shown in the blue bar above this block, must not be earlier than the entry above it, and must be after the ‘Locked / reconciled up to’ date. Use the block of the correct quarter." promptTitle="Repayment date" prompt="Value date of the repayment (must sit inside this quarter)." type="custom" errorStyle="stop">
      <formula1>AND(ISNUMBER($B315),$B315&gt;=$O314,$B315&lt;=$Q$313,$B315&gt;$H$10)</formula1>
    </dataValidation>
    <dataValidation sqref="F315:F324" showDropDown="0" showInputMessage="1" showErrorMessage="1" allowBlank="1" errorTitle="Enter the date first" error="Type the repayment date in the Date column first, then a positive amount." promptTitle="Repayment amount" prompt="Amount credited to the loan on that date." type="custom" errorStyle="stop">
      <formula1>AND(ISNUMBER($F315),$F315&gt;0,ISNUMBER($B315))</formula1>
    </dataValidation>
    <dataValidation sqref="L314:L325" showDropDown="0" showInputMessage="1" showErrorMessage="1" allowBlank="1" errorTitle="Numbers only" error="Type the balance shown on the bank’s statement so the Variance column can cross-check your figure." promptTitle="Balance per Bank" prompt="Optional: bank’s own balance for cross-checking." type="custom" errorStyle="stop">
      <formula1>ISNUMBER($L314)</formula1>
    </dataValidation>
  </dataValidations>
  <printOptions horizontalCentered="1" gridLines="0"/>
  <pageMargins left="0.3" right="0.3" top="0.55" bottom="0.5" header="0.2" footer="0.2"/>
  <pageSetup orientation="landscape" paperSize="9" fitToHeight="0" fitToWidth="1"/>
  <headerFooter>
    <oddHeader>&amp;L&amp;8 Bank loan account – quarterly compound interest statement&amp;R&amp;8 Printed &amp;D</oddHeader>
    <oddFooter>&amp;L&amp;8 &amp;F&amp;C&amp;8 Page &amp;P of &amp;N</oddFooter>
    <evenHeader/>
    <evenFooter/>
    <firstHeader/>
    <firstFooter/>
  </headerFooter>
  <rowBreaks count="8" manualBreakCount="8">
    <brk id="39" min="0" max="16383" man="1"/>
    <brk id="78" min="0" max="16383" man="1"/>
    <brk id="117" min="0" max="16383" man="1"/>
    <brk id="156" min="0" max="16383" man="1"/>
    <brk id="195" min="0" max="16383" man="1"/>
    <brk id="234" min="0" max="16383" man="1"/>
    <brk id="273" min="0" max="16383" man="1"/>
    <brk id="312" min="0" max="16383" man="1"/>
  </rowBreaks>
</worksheet>
</file>

<file path=xl/worksheets/sheet2.xml><?xml version="1.0" encoding="utf-8"?>
<worksheet xmlns="http://schemas.openxmlformats.org/spreadsheetml/2006/main">
  <sheetPr>
    <outlinePr summaryBelow="1" summaryRight="1"/>
    <pageSetUpPr fitToPage="1"/>
  </sheetPr>
  <dimension ref="A1:L37"/>
  <sheetViews>
    <sheetView workbookViewId="0">
      <pane ySplit="4" topLeftCell="A5" activePane="bottomLeft" state="frozen"/>
      <selection pane="bottomLeft" activeCell="A1" sqref="A1"/>
    </sheetView>
  </sheetViews>
  <sheetFormatPr baseColWidth="8" defaultRowHeight="15"/>
  <cols>
    <col width="5" customWidth="1" min="1" max="1"/>
    <col width="11" customWidth="1" min="2" max="2"/>
    <col width="11" customWidth="1" min="3" max="3"/>
    <col width="14.5" customWidth="1" min="4" max="4"/>
    <col width="14.5" customWidth="1" min="5" max="5"/>
    <col width="13.5" customWidth="1" min="6" max="6"/>
    <col width="14.5" customWidth="1" min="7" max="7"/>
    <col width="30" customWidth="1" min="8" max="8"/>
    <col width="13.5" customWidth="1" min="9" max="9"/>
    <col width="10.5" customWidth="1" min="10" max="10"/>
    <col width="9" customWidth="1" min="11" max="11"/>
    <col width="9" customWidth="1" min="12" max="12"/>
  </cols>
  <sheetData>
    <row r="1" ht="28" customHeight="1">
      <c r="A1" s="1" t="inlineStr">
        <is>
          <t>QUARTER-BY-QUARTER SUMMARY  (all figures locked – driven by the Loan Statement)</t>
        </is>
      </c>
    </row>
    <row r="2">
      <c r="A2" s="2">
        <f>'Loan Statement'!$A$2</f>
        <v/>
      </c>
    </row>
    <row r="4" ht="32" customHeight="1">
      <c r="A4" s="23" t="inlineStr">
        <is>
          <t>Qtr</t>
        </is>
      </c>
      <c r="B4" s="23" t="inlineStr">
        <is>
          <t>From</t>
        </is>
      </c>
      <c r="C4" s="23" t="inlineStr">
        <is>
          <t>To</t>
        </is>
      </c>
      <c r="D4" s="23" t="inlineStr">
        <is>
          <t>Opening balance</t>
        </is>
      </c>
      <c r="E4" s="23" t="inlineStr">
        <is>
          <t>Repayments in quarter</t>
        </is>
      </c>
      <c r="F4" s="23" t="inlineStr">
        <is>
          <t>Interest capitalised</t>
        </is>
      </c>
      <c r="G4" s="23" t="inlineStr">
        <is>
          <t>Closing balance</t>
        </is>
      </c>
      <c r="H4" s="23" t="inlineStr">
        <is>
          <t>Rate(s) applied in the quarter</t>
        </is>
      </c>
      <c r="I4" s="23" t="inlineStr">
        <is>
          <t>Balance per Bank</t>
        </is>
      </c>
      <c r="J4" s="23" t="inlineStr">
        <is>
          <t>Variance</t>
        </is>
      </c>
      <c r="K4" s="23" t="inlineStr">
        <is>
          <t>Status</t>
        </is>
      </c>
      <c r="L4" s="23" t="inlineStr">
        <is>
          <t>Arithmetic check</t>
        </is>
      </c>
    </row>
    <row r="5">
      <c r="A5" s="55" t="n">
        <v>1</v>
      </c>
      <c r="B5" s="56">
        <f>'Loan Statement'!$P$14</f>
        <v/>
      </c>
      <c r="C5" s="56">
        <f>'Loan Statement'!$Q$14</f>
        <v/>
      </c>
      <c r="D5" s="57">
        <f>'Loan Statement'!$S$15</f>
        <v/>
      </c>
      <c r="E5" s="57">
        <f>SUM('Loan Statement'!$F$16:$F$25)</f>
        <v/>
      </c>
      <c r="F5" s="57">
        <f>'Loan Statement'!$E$26</f>
        <v/>
      </c>
      <c r="G5" s="58">
        <f>'Loan Statement'!$S$26</f>
        <v/>
      </c>
      <c r="H5" s="59">
        <f>'Loan Statement'!$R$14</f>
        <v/>
      </c>
      <c r="I5" s="57">
        <f>'Loan Statement'!$L$26</f>
        <v/>
      </c>
      <c r="J5" s="57">
        <f>'Loan Statement'!$M$26</f>
        <v/>
      </c>
      <c r="K5" s="60">
        <f>'Loan Statement'!$N$26</f>
        <v/>
      </c>
      <c r="L5" s="60">
        <f>IF(ROUND($D5-$E5+$F5-$G5,2)=0,"OK","CHECK")</f>
        <v/>
      </c>
    </row>
    <row r="6">
      <c r="A6" s="55" t="n">
        <v>2</v>
      </c>
      <c r="B6" s="56">
        <f>'Loan Statement'!$P$27</f>
        <v/>
      </c>
      <c r="C6" s="56">
        <f>'Loan Statement'!$Q$27</f>
        <v/>
      </c>
      <c r="D6" s="57">
        <f>'Loan Statement'!$S$28</f>
        <v/>
      </c>
      <c r="E6" s="57">
        <f>SUM('Loan Statement'!$F$29:$F$38)</f>
        <v/>
      </c>
      <c r="F6" s="57">
        <f>'Loan Statement'!$E$39</f>
        <v/>
      </c>
      <c r="G6" s="58">
        <f>'Loan Statement'!$S$39</f>
        <v/>
      </c>
      <c r="H6" s="59">
        <f>'Loan Statement'!$R$27</f>
        <v/>
      </c>
      <c r="I6" s="57">
        <f>'Loan Statement'!$L$39</f>
        <v/>
      </c>
      <c r="J6" s="57">
        <f>'Loan Statement'!$M$39</f>
        <v/>
      </c>
      <c r="K6" s="60">
        <f>'Loan Statement'!$N$39</f>
        <v/>
      </c>
      <c r="L6" s="60">
        <f>IF(ROUND($D6-$E6+$F6-$G6,2)=0,"OK","CHECK")</f>
        <v/>
      </c>
    </row>
    <row r="7">
      <c r="A7" s="55" t="n">
        <v>3</v>
      </c>
      <c r="B7" s="56">
        <f>'Loan Statement'!$P$40</f>
        <v/>
      </c>
      <c r="C7" s="56">
        <f>'Loan Statement'!$Q$40</f>
        <v/>
      </c>
      <c r="D7" s="57">
        <f>'Loan Statement'!$S$41</f>
        <v/>
      </c>
      <c r="E7" s="57">
        <f>SUM('Loan Statement'!$F$42:$F$51)</f>
        <v/>
      </c>
      <c r="F7" s="57">
        <f>'Loan Statement'!$E$52</f>
        <v/>
      </c>
      <c r="G7" s="58">
        <f>'Loan Statement'!$S$52</f>
        <v/>
      </c>
      <c r="H7" s="59">
        <f>'Loan Statement'!$R$40</f>
        <v/>
      </c>
      <c r="I7" s="57">
        <f>'Loan Statement'!$L$52</f>
        <v/>
      </c>
      <c r="J7" s="57">
        <f>'Loan Statement'!$M$52</f>
        <v/>
      </c>
      <c r="K7" s="60">
        <f>'Loan Statement'!$N$52</f>
        <v/>
      </c>
      <c r="L7" s="60">
        <f>IF(ROUND($D7-$E7+$F7-$G7,2)=0,"OK","CHECK")</f>
        <v/>
      </c>
    </row>
    <row r="8">
      <c r="A8" s="55" t="n">
        <v>4</v>
      </c>
      <c r="B8" s="56">
        <f>'Loan Statement'!$P$53</f>
        <v/>
      </c>
      <c r="C8" s="56">
        <f>'Loan Statement'!$Q$53</f>
        <v/>
      </c>
      <c r="D8" s="57">
        <f>'Loan Statement'!$S$54</f>
        <v/>
      </c>
      <c r="E8" s="57">
        <f>SUM('Loan Statement'!$F$55:$F$64)</f>
        <v/>
      </c>
      <c r="F8" s="57">
        <f>'Loan Statement'!$E$65</f>
        <v/>
      </c>
      <c r="G8" s="58">
        <f>'Loan Statement'!$S$65</f>
        <v/>
      </c>
      <c r="H8" s="59">
        <f>'Loan Statement'!$R$53</f>
        <v/>
      </c>
      <c r="I8" s="57">
        <f>'Loan Statement'!$L$65</f>
        <v/>
      </c>
      <c r="J8" s="57">
        <f>'Loan Statement'!$M$65</f>
        <v/>
      </c>
      <c r="K8" s="60">
        <f>'Loan Statement'!$N$65</f>
        <v/>
      </c>
      <c r="L8" s="60">
        <f>IF(ROUND($D8-$E8+$F8-$G8,2)=0,"OK","CHECK")</f>
        <v/>
      </c>
    </row>
    <row r="9">
      <c r="A9" s="55" t="n">
        <v>5</v>
      </c>
      <c r="B9" s="56">
        <f>'Loan Statement'!$P$66</f>
        <v/>
      </c>
      <c r="C9" s="56">
        <f>'Loan Statement'!$Q$66</f>
        <v/>
      </c>
      <c r="D9" s="57">
        <f>'Loan Statement'!$S$67</f>
        <v/>
      </c>
      <c r="E9" s="57">
        <f>SUM('Loan Statement'!$F$68:$F$77)</f>
        <v/>
      </c>
      <c r="F9" s="57">
        <f>'Loan Statement'!$E$78</f>
        <v/>
      </c>
      <c r="G9" s="58">
        <f>'Loan Statement'!$S$78</f>
        <v/>
      </c>
      <c r="H9" s="59">
        <f>'Loan Statement'!$R$66</f>
        <v/>
      </c>
      <c r="I9" s="57">
        <f>'Loan Statement'!$L$78</f>
        <v/>
      </c>
      <c r="J9" s="57">
        <f>'Loan Statement'!$M$78</f>
        <v/>
      </c>
      <c r="K9" s="60">
        <f>'Loan Statement'!$N$78</f>
        <v/>
      </c>
      <c r="L9" s="60">
        <f>IF(ROUND($D9-$E9+$F9-$G9,2)=0,"OK","CHECK")</f>
        <v/>
      </c>
    </row>
    <row r="10">
      <c r="A10" s="55" t="n">
        <v>6</v>
      </c>
      <c r="B10" s="56">
        <f>'Loan Statement'!$P$79</f>
        <v/>
      </c>
      <c r="C10" s="56">
        <f>'Loan Statement'!$Q$79</f>
        <v/>
      </c>
      <c r="D10" s="57">
        <f>'Loan Statement'!$S$80</f>
        <v/>
      </c>
      <c r="E10" s="57">
        <f>SUM('Loan Statement'!$F$81:$F$90)</f>
        <v/>
      </c>
      <c r="F10" s="57">
        <f>'Loan Statement'!$E$91</f>
        <v/>
      </c>
      <c r="G10" s="58">
        <f>'Loan Statement'!$S$91</f>
        <v/>
      </c>
      <c r="H10" s="59">
        <f>'Loan Statement'!$R$79</f>
        <v/>
      </c>
      <c r="I10" s="57">
        <f>'Loan Statement'!$L$91</f>
        <v/>
      </c>
      <c r="J10" s="57">
        <f>'Loan Statement'!$M$91</f>
        <v/>
      </c>
      <c r="K10" s="60">
        <f>'Loan Statement'!$N$91</f>
        <v/>
      </c>
      <c r="L10" s="60">
        <f>IF(ROUND($D10-$E10+$F10-$G10,2)=0,"OK","CHECK")</f>
        <v/>
      </c>
    </row>
    <row r="11">
      <c r="A11" s="55" t="n">
        <v>7</v>
      </c>
      <c r="B11" s="56">
        <f>'Loan Statement'!$P$92</f>
        <v/>
      </c>
      <c r="C11" s="56">
        <f>'Loan Statement'!$Q$92</f>
        <v/>
      </c>
      <c r="D11" s="57">
        <f>'Loan Statement'!$S$93</f>
        <v/>
      </c>
      <c r="E11" s="57">
        <f>SUM('Loan Statement'!$F$94:$F$103)</f>
        <v/>
      </c>
      <c r="F11" s="57">
        <f>'Loan Statement'!$E$104</f>
        <v/>
      </c>
      <c r="G11" s="58">
        <f>'Loan Statement'!$S$104</f>
        <v/>
      </c>
      <c r="H11" s="59">
        <f>'Loan Statement'!$R$92</f>
        <v/>
      </c>
      <c r="I11" s="57">
        <f>'Loan Statement'!$L$104</f>
        <v/>
      </c>
      <c r="J11" s="57">
        <f>'Loan Statement'!$M$104</f>
        <v/>
      </c>
      <c r="K11" s="60">
        <f>'Loan Statement'!$N$104</f>
        <v/>
      </c>
      <c r="L11" s="60">
        <f>IF(ROUND($D11-$E11+$F11-$G11,2)=0,"OK","CHECK")</f>
        <v/>
      </c>
    </row>
    <row r="12">
      <c r="A12" s="55" t="n">
        <v>8</v>
      </c>
      <c r="B12" s="56">
        <f>'Loan Statement'!$P$105</f>
        <v/>
      </c>
      <c r="C12" s="56">
        <f>'Loan Statement'!$Q$105</f>
        <v/>
      </c>
      <c r="D12" s="57">
        <f>'Loan Statement'!$S$106</f>
        <v/>
      </c>
      <c r="E12" s="57">
        <f>SUM('Loan Statement'!$F$107:$F$116)</f>
        <v/>
      </c>
      <c r="F12" s="57">
        <f>'Loan Statement'!$E$117</f>
        <v/>
      </c>
      <c r="G12" s="58">
        <f>'Loan Statement'!$S$117</f>
        <v/>
      </c>
      <c r="H12" s="59">
        <f>'Loan Statement'!$R$105</f>
        <v/>
      </c>
      <c r="I12" s="57">
        <f>'Loan Statement'!$L$117</f>
        <v/>
      </c>
      <c r="J12" s="57">
        <f>'Loan Statement'!$M$117</f>
        <v/>
      </c>
      <c r="K12" s="60">
        <f>'Loan Statement'!$N$117</f>
        <v/>
      </c>
      <c r="L12" s="60">
        <f>IF(ROUND($D12-$E12+$F12-$G12,2)=0,"OK","CHECK")</f>
        <v/>
      </c>
    </row>
    <row r="13">
      <c r="A13" s="55" t="n">
        <v>9</v>
      </c>
      <c r="B13" s="56">
        <f>'Loan Statement'!$P$118</f>
        <v/>
      </c>
      <c r="C13" s="56">
        <f>'Loan Statement'!$Q$118</f>
        <v/>
      </c>
      <c r="D13" s="57">
        <f>'Loan Statement'!$S$119</f>
        <v/>
      </c>
      <c r="E13" s="57">
        <f>SUM('Loan Statement'!$F$120:$F$129)</f>
        <v/>
      </c>
      <c r="F13" s="57">
        <f>'Loan Statement'!$E$130</f>
        <v/>
      </c>
      <c r="G13" s="58">
        <f>'Loan Statement'!$S$130</f>
        <v/>
      </c>
      <c r="H13" s="59">
        <f>'Loan Statement'!$R$118</f>
        <v/>
      </c>
      <c r="I13" s="57">
        <f>'Loan Statement'!$L$130</f>
        <v/>
      </c>
      <c r="J13" s="57">
        <f>'Loan Statement'!$M$130</f>
        <v/>
      </c>
      <c r="K13" s="60">
        <f>'Loan Statement'!$N$130</f>
        <v/>
      </c>
      <c r="L13" s="60">
        <f>IF(ROUND($D13-$E13+$F13-$G13,2)=0,"OK","CHECK")</f>
        <v/>
      </c>
    </row>
    <row r="14">
      <c r="A14" s="55" t="n">
        <v>10</v>
      </c>
      <c r="B14" s="56">
        <f>'Loan Statement'!$P$131</f>
        <v/>
      </c>
      <c r="C14" s="56">
        <f>'Loan Statement'!$Q$131</f>
        <v/>
      </c>
      <c r="D14" s="57">
        <f>'Loan Statement'!$S$132</f>
        <v/>
      </c>
      <c r="E14" s="57">
        <f>SUM('Loan Statement'!$F$133:$F$142)</f>
        <v/>
      </c>
      <c r="F14" s="57">
        <f>'Loan Statement'!$E$143</f>
        <v/>
      </c>
      <c r="G14" s="58">
        <f>'Loan Statement'!$S$143</f>
        <v/>
      </c>
      <c r="H14" s="59">
        <f>'Loan Statement'!$R$131</f>
        <v/>
      </c>
      <c r="I14" s="57">
        <f>'Loan Statement'!$L$143</f>
        <v/>
      </c>
      <c r="J14" s="57">
        <f>'Loan Statement'!$M$143</f>
        <v/>
      </c>
      <c r="K14" s="60">
        <f>'Loan Statement'!$N$143</f>
        <v/>
      </c>
      <c r="L14" s="60">
        <f>IF(ROUND($D14-$E14+$F14-$G14,2)=0,"OK","CHECK")</f>
        <v/>
      </c>
    </row>
    <row r="15">
      <c r="A15" s="55" t="n">
        <v>11</v>
      </c>
      <c r="B15" s="56">
        <f>'Loan Statement'!$P$144</f>
        <v/>
      </c>
      <c r="C15" s="56">
        <f>'Loan Statement'!$Q$144</f>
        <v/>
      </c>
      <c r="D15" s="57">
        <f>'Loan Statement'!$S$145</f>
        <v/>
      </c>
      <c r="E15" s="57">
        <f>SUM('Loan Statement'!$F$146:$F$155)</f>
        <v/>
      </c>
      <c r="F15" s="57">
        <f>'Loan Statement'!$E$156</f>
        <v/>
      </c>
      <c r="G15" s="58">
        <f>'Loan Statement'!$S$156</f>
        <v/>
      </c>
      <c r="H15" s="59">
        <f>'Loan Statement'!$R$144</f>
        <v/>
      </c>
      <c r="I15" s="57">
        <f>'Loan Statement'!$L$156</f>
        <v/>
      </c>
      <c r="J15" s="57">
        <f>'Loan Statement'!$M$156</f>
        <v/>
      </c>
      <c r="K15" s="60">
        <f>'Loan Statement'!$N$156</f>
        <v/>
      </c>
      <c r="L15" s="60">
        <f>IF(ROUND($D15-$E15+$F15-$G15,2)=0,"OK","CHECK")</f>
        <v/>
      </c>
    </row>
    <row r="16">
      <c r="A16" s="55" t="n">
        <v>12</v>
      </c>
      <c r="B16" s="56">
        <f>'Loan Statement'!$P$157</f>
        <v/>
      </c>
      <c r="C16" s="56">
        <f>'Loan Statement'!$Q$157</f>
        <v/>
      </c>
      <c r="D16" s="57">
        <f>'Loan Statement'!$S$158</f>
        <v/>
      </c>
      <c r="E16" s="57">
        <f>SUM('Loan Statement'!$F$159:$F$168)</f>
        <v/>
      </c>
      <c r="F16" s="57">
        <f>'Loan Statement'!$E$169</f>
        <v/>
      </c>
      <c r="G16" s="58">
        <f>'Loan Statement'!$S$169</f>
        <v/>
      </c>
      <c r="H16" s="59">
        <f>'Loan Statement'!$R$157</f>
        <v/>
      </c>
      <c r="I16" s="57">
        <f>'Loan Statement'!$L$169</f>
        <v/>
      </c>
      <c r="J16" s="57">
        <f>'Loan Statement'!$M$169</f>
        <v/>
      </c>
      <c r="K16" s="60">
        <f>'Loan Statement'!$N$169</f>
        <v/>
      </c>
      <c r="L16" s="60">
        <f>IF(ROUND($D16-$E16+$F16-$G16,2)=0,"OK","CHECK")</f>
        <v/>
      </c>
    </row>
    <row r="17">
      <c r="A17" s="55" t="n">
        <v>13</v>
      </c>
      <c r="B17" s="56">
        <f>'Loan Statement'!$P$170</f>
        <v/>
      </c>
      <c r="C17" s="56">
        <f>'Loan Statement'!$Q$170</f>
        <v/>
      </c>
      <c r="D17" s="57">
        <f>'Loan Statement'!$S$171</f>
        <v/>
      </c>
      <c r="E17" s="57">
        <f>SUM('Loan Statement'!$F$172:$F$181)</f>
        <v/>
      </c>
      <c r="F17" s="57">
        <f>'Loan Statement'!$E$182</f>
        <v/>
      </c>
      <c r="G17" s="58">
        <f>'Loan Statement'!$S$182</f>
        <v/>
      </c>
      <c r="H17" s="59">
        <f>'Loan Statement'!$R$170</f>
        <v/>
      </c>
      <c r="I17" s="57">
        <f>'Loan Statement'!$L$182</f>
        <v/>
      </c>
      <c r="J17" s="57">
        <f>'Loan Statement'!$M$182</f>
        <v/>
      </c>
      <c r="K17" s="60">
        <f>'Loan Statement'!$N$182</f>
        <v/>
      </c>
      <c r="L17" s="60">
        <f>IF(ROUND($D17-$E17+$F17-$G17,2)=0,"OK","CHECK")</f>
        <v/>
      </c>
    </row>
    <row r="18">
      <c r="A18" s="55" t="n">
        <v>14</v>
      </c>
      <c r="B18" s="56">
        <f>'Loan Statement'!$P$183</f>
        <v/>
      </c>
      <c r="C18" s="56">
        <f>'Loan Statement'!$Q$183</f>
        <v/>
      </c>
      <c r="D18" s="57">
        <f>'Loan Statement'!$S$184</f>
        <v/>
      </c>
      <c r="E18" s="57">
        <f>SUM('Loan Statement'!$F$185:$F$194)</f>
        <v/>
      </c>
      <c r="F18" s="57">
        <f>'Loan Statement'!$E$195</f>
        <v/>
      </c>
      <c r="G18" s="58">
        <f>'Loan Statement'!$S$195</f>
        <v/>
      </c>
      <c r="H18" s="59">
        <f>'Loan Statement'!$R$183</f>
        <v/>
      </c>
      <c r="I18" s="57">
        <f>'Loan Statement'!$L$195</f>
        <v/>
      </c>
      <c r="J18" s="57">
        <f>'Loan Statement'!$M$195</f>
        <v/>
      </c>
      <c r="K18" s="60">
        <f>'Loan Statement'!$N$195</f>
        <v/>
      </c>
      <c r="L18" s="60">
        <f>IF(ROUND($D18-$E18+$F18-$G18,2)=0,"OK","CHECK")</f>
        <v/>
      </c>
    </row>
    <row r="19">
      <c r="A19" s="55" t="n">
        <v>15</v>
      </c>
      <c r="B19" s="56">
        <f>'Loan Statement'!$P$196</f>
        <v/>
      </c>
      <c r="C19" s="56">
        <f>'Loan Statement'!$Q$196</f>
        <v/>
      </c>
      <c r="D19" s="57">
        <f>'Loan Statement'!$S$197</f>
        <v/>
      </c>
      <c r="E19" s="57">
        <f>SUM('Loan Statement'!$F$198:$F$207)</f>
        <v/>
      </c>
      <c r="F19" s="57">
        <f>'Loan Statement'!$E$208</f>
        <v/>
      </c>
      <c r="G19" s="58">
        <f>'Loan Statement'!$S$208</f>
        <v/>
      </c>
      <c r="H19" s="59">
        <f>'Loan Statement'!$R$196</f>
        <v/>
      </c>
      <c r="I19" s="57">
        <f>'Loan Statement'!$L$208</f>
        <v/>
      </c>
      <c r="J19" s="57">
        <f>'Loan Statement'!$M$208</f>
        <v/>
      </c>
      <c r="K19" s="60">
        <f>'Loan Statement'!$N$208</f>
        <v/>
      </c>
      <c r="L19" s="60">
        <f>IF(ROUND($D19-$E19+$F19-$G19,2)=0,"OK","CHECK")</f>
        <v/>
      </c>
    </row>
    <row r="20">
      <c r="A20" s="55" t="n">
        <v>16</v>
      </c>
      <c r="B20" s="56">
        <f>'Loan Statement'!$P$209</f>
        <v/>
      </c>
      <c r="C20" s="56">
        <f>'Loan Statement'!$Q$209</f>
        <v/>
      </c>
      <c r="D20" s="57">
        <f>'Loan Statement'!$S$210</f>
        <v/>
      </c>
      <c r="E20" s="57">
        <f>SUM('Loan Statement'!$F$211:$F$220)</f>
        <v/>
      </c>
      <c r="F20" s="57">
        <f>'Loan Statement'!$E$221</f>
        <v/>
      </c>
      <c r="G20" s="58">
        <f>'Loan Statement'!$S$221</f>
        <v/>
      </c>
      <c r="H20" s="59">
        <f>'Loan Statement'!$R$209</f>
        <v/>
      </c>
      <c r="I20" s="57">
        <f>'Loan Statement'!$L$221</f>
        <v/>
      </c>
      <c r="J20" s="57">
        <f>'Loan Statement'!$M$221</f>
        <v/>
      </c>
      <c r="K20" s="60">
        <f>'Loan Statement'!$N$221</f>
        <v/>
      </c>
      <c r="L20" s="60">
        <f>IF(ROUND($D20-$E20+$F20-$G20,2)=0,"OK","CHECK")</f>
        <v/>
      </c>
    </row>
    <row r="21">
      <c r="A21" s="55" t="n">
        <v>17</v>
      </c>
      <c r="B21" s="56">
        <f>'Loan Statement'!$P$222</f>
        <v/>
      </c>
      <c r="C21" s="56">
        <f>'Loan Statement'!$Q$222</f>
        <v/>
      </c>
      <c r="D21" s="57">
        <f>'Loan Statement'!$S$223</f>
        <v/>
      </c>
      <c r="E21" s="57">
        <f>SUM('Loan Statement'!$F$224:$F$233)</f>
        <v/>
      </c>
      <c r="F21" s="57">
        <f>'Loan Statement'!$E$234</f>
        <v/>
      </c>
      <c r="G21" s="58">
        <f>'Loan Statement'!$S$234</f>
        <v/>
      </c>
      <c r="H21" s="59">
        <f>'Loan Statement'!$R$222</f>
        <v/>
      </c>
      <c r="I21" s="57">
        <f>'Loan Statement'!$L$234</f>
        <v/>
      </c>
      <c r="J21" s="57">
        <f>'Loan Statement'!$M$234</f>
        <v/>
      </c>
      <c r="K21" s="60">
        <f>'Loan Statement'!$N$234</f>
        <v/>
      </c>
      <c r="L21" s="60">
        <f>IF(ROUND($D21-$E21+$F21-$G21,2)=0,"OK","CHECK")</f>
        <v/>
      </c>
    </row>
    <row r="22">
      <c r="A22" s="55" t="n">
        <v>18</v>
      </c>
      <c r="B22" s="56">
        <f>'Loan Statement'!$P$235</f>
        <v/>
      </c>
      <c r="C22" s="56">
        <f>'Loan Statement'!$Q$235</f>
        <v/>
      </c>
      <c r="D22" s="57">
        <f>'Loan Statement'!$S$236</f>
        <v/>
      </c>
      <c r="E22" s="57">
        <f>SUM('Loan Statement'!$F$237:$F$246)</f>
        <v/>
      </c>
      <c r="F22" s="57">
        <f>'Loan Statement'!$E$247</f>
        <v/>
      </c>
      <c r="G22" s="58">
        <f>'Loan Statement'!$S$247</f>
        <v/>
      </c>
      <c r="H22" s="59">
        <f>'Loan Statement'!$R$235</f>
        <v/>
      </c>
      <c r="I22" s="57">
        <f>'Loan Statement'!$L$247</f>
        <v/>
      </c>
      <c r="J22" s="57">
        <f>'Loan Statement'!$M$247</f>
        <v/>
      </c>
      <c r="K22" s="60">
        <f>'Loan Statement'!$N$247</f>
        <v/>
      </c>
      <c r="L22" s="60">
        <f>IF(ROUND($D22-$E22+$F22-$G22,2)=0,"OK","CHECK")</f>
        <v/>
      </c>
    </row>
    <row r="23">
      <c r="A23" s="55" t="n">
        <v>19</v>
      </c>
      <c r="B23" s="56">
        <f>'Loan Statement'!$P$248</f>
        <v/>
      </c>
      <c r="C23" s="56">
        <f>'Loan Statement'!$Q$248</f>
        <v/>
      </c>
      <c r="D23" s="57">
        <f>'Loan Statement'!$S$249</f>
        <v/>
      </c>
      <c r="E23" s="57">
        <f>SUM('Loan Statement'!$F$250:$F$259)</f>
        <v/>
      </c>
      <c r="F23" s="57">
        <f>'Loan Statement'!$E$260</f>
        <v/>
      </c>
      <c r="G23" s="58">
        <f>'Loan Statement'!$S$260</f>
        <v/>
      </c>
      <c r="H23" s="59">
        <f>'Loan Statement'!$R$248</f>
        <v/>
      </c>
      <c r="I23" s="57">
        <f>'Loan Statement'!$L$260</f>
        <v/>
      </c>
      <c r="J23" s="57">
        <f>'Loan Statement'!$M$260</f>
        <v/>
      </c>
      <c r="K23" s="60">
        <f>'Loan Statement'!$N$260</f>
        <v/>
      </c>
      <c r="L23" s="60">
        <f>IF(ROUND($D23-$E23+$F23-$G23,2)=0,"OK","CHECK")</f>
        <v/>
      </c>
    </row>
    <row r="24">
      <c r="A24" s="55" t="n">
        <v>20</v>
      </c>
      <c r="B24" s="56">
        <f>'Loan Statement'!$P$261</f>
        <v/>
      </c>
      <c r="C24" s="56">
        <f>'Loan Statement'!$Q$261</f>
        <v/>
      </c>
      <c r="D24" s="57">
        <f>'Loan Statement'!$S$262</f>
        <v/>
      </c>
      <c r="E24" s="57">
        <f>SUM('Loan Statement'!$F$263:$F$272)</f>
        <v/>
      </c>
      <c r="F24" s="57">
        <f>'Loan Statement'!$E$273</f>
        <v/>
      </c>
      <c r="G24" s="58">
        <f>'Loan Statement'!$S$273</f>
        <v/>
      </c>
      <c r="H24" s="59">
        <f>'Loan Statement'!$R$261</f>
        <v/>
      </c>
      <c r="I24" s="57">
        <f>'Loan Statement'!$L$273</f>
        <v/>
      </c>
      <c r="J24" s="57">
        <f>'Loan Statement'!$M$273</f>
        <v/>
      </c>
      <c r="K24" s="60">
        <f>'Loan Statement'!$N$273</f>
        <v/>
      </c>
      <c r="L24" s="60">
        <f>IF(ROUND($D24-$E24+$F24-$G24,2)=0,"OK","CHECK")</f>
        <v/>
      </c>
    </row>
    <row r="25">
      <c r="A25" s="55" t="n">
        <v>21</v>
      </c>
      <c r="B25" s="56">
        <f>'Loan Statement'!$P$274</f>
        <v/>
      </c>
      <c r="C25" s="56">
        <f>'Loan Statement'!$Q$274</f>
        <v/>
      </c>
      <c r="D25" s="57">
        <f>'Loan Statement'!$S$275</f>
        <v/>
      </c>
      <c r="E25" s="57">
        <f>SUM('Loan Statement'!$F$276:$F$285)</f>
        <v/>
      </c>
      <c r="F25" s="57">
        <f>'Loan Statement'!$E$286</f>
        <v/>
      </c>
      <c r="G25" s="58">
        <f>'Loan Statement'!$S$286</f>
        <v/>
      </c>
      <c r="H25" s="59">
        <f>'Loan Statement'!$R$274</f>
        <v/>
      </c>
      <c r="I25" s="57">
        <f>'Loan Statement'!$L$286</f>
        <v/>
      </c>
      <c r="J25" s="57">
        <f>'Loan Statement'!$M$286</f>
        <v/>
      </c>
      <c r="K25" s="60">
        <f>'Loan Statement'!$N$286</f>
        <v/>
      </c>
      <c r="L25" s="60">
        <f>IF(ROUND($D25-$E25+$F25-$G25,2)=0,"OK","CHECK")</f>
        <v/>
      </c>
    </row>
    <row r="26">
      <c r="A26" s="55" t="n">
        <v>22</v>
      </c>
      <c r="B26" s="56">
        <f>'Loan Statement'!$P$287</f>
        <v/>
      </c>
      <c r="C26" s="56">
        <f>'Loan Statement'!$Q$287</f>
        <v/>
      </c>
      <c r="D26" s="57">
        <f>'Loan Statement'!$S$288</f>
        <v/>
      </c>
      <c r="E26" s="57">
        <f>SUM('Loan Statement'!$F$289:$F$298)</f>
        <v/>
      </c>
      <c r="F26" s="57">
        <f>'Loan Statement'!$E$299</f>
        <v/>
      </c>
      <c r="G26" s="58">
        <f>'Loan Statement'!$S$299</f>
        <v/>
      </c>
      <c r="H26" s="59">
        <f>'Loan Statement'!$R$287</f>
        <v/>
      </c>
      <c r="I26" s="57">
        <f>'Loan Statement'!$L$299</f>
        <v/>
      </c>
      <c r="J26" s="57">
        <f>'Loan Statement'!$M$299</f>
        <v/>
      </c>
      <c r="K26" s="60">
        <f>'Loan Statement'!$N$299</f>
        <v/>
      </c>
      <c r="L26" s="60">
        <f>IF(ROUND($D26-$E26+$F26-$G26,2)=0,"OK","CHECK")</f>
        <v/>
      </c>
    </row>
    <row r="27">
      <c r="A27" s="55" t="n">
        <v>23</v>
      </c>
      <c r="B27" s="56">
        <f>'Loan Statement'!$P$300</f>
        <v/>
      </c>
      <c r="C27" s="56">
        <f>'Loan Statement'!$Q$300</f>
        <v/>
      </c>
      <c r="D27" s="57">
        <f>'Loan Statement'!$S$301</f>
        <v/>
      </c>
      <c r="E27" s="57">
        <f>SUM('Loan Statement'!$F$302:$F$311)</f>
        <v/>
      </c>
      <c r="F27" s="57">
        <f>'Loan Statement'!$E$312</f>
        <v/>
      </c>
      <c r="G27" s="58">
        <f>'Loan Statement'!$S$312</f>
        <v/>
      </c>
      <c r="H27" s="59">
        <f>'Loan Statement'!$R$300</f>
        <v/>
      </c>
      <c r="I27" s="57">
        <f>'Loan Statement'!$L$312</f>
        <v/>
      </c>
      <c r="J27" s="57">
        <f>'Loan Statement'!$M$312</f>
        <v/>
      </c>
      <c r="K27" s="60">
        <f>'Loan Statement'!$N$312</f>
        <v/>
      </c>
      <c r="L27" s="60">
        <f>IF(ROUND($D27-$E27+$F27-$G27,2)=0,"OK","CHECK")</f>
        <v/>
      </c>
    </row>
    <row r="28">
      <c r="A28" s="55" t="n">
        <v>24</v>
      </c>
      <c r="B28" s="56">
        <f>'Loan Statement'!$P$313</f>
        <v/>
      </c>
      <c r="C28" s="56">
        <f>'Loan Statement'!$Q$313</f>
        <v/>
      </c>
      <c r="D28" s="57">
        <f>'Loan Statement'!$S$314</f>
        <v/>
      </c>
      <c r="E28" s="57">
        <f>SUM('Loan Statement'!$F$315:$F$324)</f>
        <v/>
      </c>
      <c r="F28" s="57">
        <f>'Loan Statement'!$E$325</f>
        <v/>
      </c>
      <c r="G28" s="58">
        <f>'Loan Statement'!$S$325</f>
        <v/>
      </c>
      <c r="H28" s="59">
        <f>'Loan Statement'!$R$313</f>
        <v/>
      </c>
      <c r="I28" s="57">
        <f>'Loan Statement'!$L$325</f>
        <v/>
      </c>
      <c r="J28" s="57">
        <f>'Loan Statement'!$M$325</f>
        <v/>
      </c>
      <c r="K28" s="60">
        <f>'Loan Statement'!$N$325</f>
        <v/>
      </c>
      <c r="L28" s="60">
        <f>IF(ROUND($D28-$E28+$F28-$G28,2)=0,"OK","CHECK")</f>
        <v/>
      </c>
    </row>
    <row r="29">
      <c r="A29" s="4" t="inlineStr">
        <is>
          <t>TOTAL</t>
        </is>
      </c>
      <c r="B29" s="61" t="n"/>
      <c r="C29" s="61" t="n"/>
      <c r="D29" s="61" t="n"/>
      <c r="E29" s="62">
        <f>SUM($E$5:$E$28)</f>
        <v/>
      </c>
      <c r="F29" s="62">
        <f>SUM($F$5:$F$28)</f>
        <v/>
      </c>
      <c r="G29" s="61" t="n"/>
      <c r="H29" s="61" t="n"/>
      <c r="I29" s="61" t="n"/>
      <c r="J29" s="61" t="n"/>
      <c r="K29" s="61" t="n"/>
      <c r="L29" s="61" t="n"/>
    </row>
    <row r="31">
      <c r="A31" s="4" t="inlineStr">
        <is>
          <t>LIVE POSITION  &amp;  INTEGRITY CHECKS</t>
        </is>
      </c>
    </row>
    <row r="32">
      <c r="A32" s="5" t="inlineStr">
        <is>
          <t>Outstanding today (principal + accrued interest)</t>
        </is>
      </c>
      <c r="D32" s="63">
        <f>'Engine'!$B$15</f>
        <v/>
      </c>
    </row>
    <row r="33">
      <c r="A33" s="5" t="inlineStr">
        <is>
          <t>Principal balance as per last event</t>
        </is>
      </c>
      <c r="D33" s="63">
        <f>'Engine'!$B$12</f>
        <v/>
      </c>
    </row>
    <row r="34">
      <c r="A34" s="5" t="inlineStr">
        <is>
          <t>Interest accrued but not yet capitalised</t>
        </is>
      </c>
      <c r="D34" s="63">
        <f>'Engine'!$B$14</f>
        <v/>
      </c>
    </row>
    <row r="35">
      <c r="A35" s="5" t="inlineStr">
        <is>
          <t>Total repaid to date</t>
        </is>
      </c>
      <c r="D35" s="63">
        <f>'Engine'!$B$16</f>
        <v/>
      </c>
    </row>
    <row r="36">
      <c r="A36" s="5" t="inlineStr">
        <is>
          <t>Total interest charged to date</t>
        </is>
      </c>
      <c r="D36" s="63">
        <f>'Engine'!$B$17</f>
        <v/>
      </c>
    </row>
    <row r="37">
      <c r="A37" s="5" t="inlineStr">
        <is>
          <t>Rows where your balance differs from the bank’s</t>
        </is>
      </c>
      <c r="D37" s="64">
        <f>'Engine'!$B$18</f>
        <v/>
      </c>
    </row>
  </sheetData>
  <sheetProtection selectLockedCells="0" selectUnlockedCells="0" sheet="1" objects="0" insertRows="1" insertHyperlinks="1" autoFilter="1" scenarios="0" formatColumns="1" deleteColumns="1" insertColumns="1" pivotTables="1" deleteRows="1" formatCells="1" formatRows="1" sort="1" password="F569"/>
  <mergeCells count="9">
    <mergeCell ref="A2:L2"/>
    <mergeCell ref="A33:C33"/>
    <mergeCell ref="A31:D31"/>
    <mergeCell ref="A36:C36"/>
    <mergeCell ref="A37:C37"/>
    <mergeCell ref="A32:C32"/>
    <mergeCell ref="A1:L1"/>
    <mergeCell ref="A34:C34"/>
    <mergeCell ref="A35:C35"/>
  </mergeCells>
  <conditionalFormatting sqref="D37">
    <cfRule type="expression" priority="1" dxfId="1">
      <formula>$D$37&gt;0</formula>
    </cfRule>
  </conditionalFormatting>
  <conditionalFormatting sqref="L5:L28">
    <cfRule type="expression" priority="2" dxfId="1">
      <formula>$L5="CHECK"</formula>
    </cfRule>
  </conditionalFormatting>
  <conditionalFormatting sqref="A5:L28">
    <cfRule type="expression" priority="3" dxfId="0">
      <formula>$K5="LOCKED"</formula>
    </cfRule>
  </conditionalFormatting>
  <printOptions horizontalCentered="1" gridLines="0"/>
  <pageMargins left="0.3" right="0.3" top="0.55" bottom="0.5" header="0.2" footer="0.2"/>
  <pageSetup orientation="landscape" paperSize="9" fitToHeight="0" fitToWidth="1"/>
  <headerFooter>
    <oddHeader>&amp;L&amp;8 Bank loan account – quarter-by-quarter summary&amp;R&amp;8 Printed &amp;D</oddHeader>
    <oddFooter>&amp;L&amp;8 &amp;F&amp;C&amp;8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37"/>
  <sheetViews>
    <sheetView showGridLines="0" workbookViewId="0">
      <selection activeCell="A1" sqref="A1"/>
    </sheetView>
  </sheetViews>
  <sheetFormatPr baseColWidth="8" defaultRowHeight="15"/>
  <cols>
    <col width="3" customWidth="1" min="1" max="1"/>
    <col width="93" customWidth="1" min="2" max="2"/>
  </cols>
  <sheetData>
    <row r="1" ht="30" customHeight="1">
      <c r="A1" s="1" t="inlineStr">
        <is>
          <t>BANK LOAN – QUARTERLY COMPOUND INTEREST FILE  ·  USER GUIDE</t>
        </is>
      </c>
    </row>
    <row r="3" ht="18" customHeight="1">
      <c r="A3" s="65" t="inlineStr">
        <is>
          <t>HOW THIS FILE WORKS</t>
        </is>
      </c>
    </row>
    <row r="5" ht="60" customHeight="1">
      <c r="A5" s="66" t="inlineStr">
        <is>
          <t>This workbook keeps a bank loan account on the same layout as a bank statement and charges interest the way the bank does: interest accrues on the daily outstanding balance and is added to the balance (capitalised) at every quarter-end, so the next quarter earns interest on interest – quarterly compounding.</t>
        </is>
      </c>
    </row>
    <row r="6" ht="18" customHeight="1">
      <c r="A6" s="65" t="inlineStr">
        <is>
          <t>1.  WHAT YOU FILL IN  (pale yellow cells only)</t>
        </is>
      </c>
    </row>
    <row r="8" ht="15" customHeight="1">
      <c r="A8" s="67" t="inlineStr">
        <is>
          <t>•</t>
        </is>
      </c>
      <c r="B8" s="66" t="inlineStr">
        <is>
          <t>Top-left panel – account particulars: A/C no., borrower, facility, address, limit.</t>
        </is>
      </c>
    </row>
    <row r="9" ht="45" customHeight="1">
      <c r="A9" s="67" t="inlineStr">
        <is>
          <t>•</t>
        </is>
      </c>
      <c r="B9" s="66" t="inlineStr">
        <is>
          <t>Middle panel – Balance B/F date and amount: the opening position of the file. Interest basis: 365 (or 360/366 if your bank says so). Quarter-end convention: calendar quarter-ends, or quarters counted three months at a time from the B/F date.</t>
        </is>
      </c>
    </row>
    <row r="10" ht="45" customHeight="1">
      <c r="A10" s="67" t="inlineStr">
        <is>
          <t>•</t>
        </is>
      </c>
      <c r="B10" s="66" t="inlineStr">
        <is>
          <t>Rate register (top-right) – slot 1 is the original rate and always runs from the B/F date. Slots 2 and 3 are revisions: type the date the new rate takes effect and the new percentage.</t>
        </is>
      </c>
    </row>
    <row r="11" ht="60" customHeight="1">
      <c r="A11" s="67" t="inlineStr">
        <is>
          <t>•</t>
        </is>
      </c>
      <c r="B11" s="66" t="inlineStr">
        <is>
          <t>In the ledger – for every repayment, type the Date and the Credit amount in the block of the quarter the repayment falls in. Cheque/instrument and particulars are optional. Balance per Bank is optional: fill it and the Variance column tells you instantly whether your file agrees with the bank.</t>
        </is>
      </c>
    </row>
    <row r="12" ht="18" customHeight="1">
      <c r="A12" s="65" t="inlineStr">
        <is>
          <t>2.  WHAT THE FILE DOES ON ITS OWN</t>
        </is>
      </c>
    </row>
    <row r="14" ht="15" customHeight="1">
      <c r="A14" s="67" t="inlineStr">
        <is>
          <t>•</t>
        </is>
      </c>
      <c r="B14" s="66" t="inlineStr">
        <is>
          <t>Generates every quarter-end date and shows each quarter in its own blue block.</t>
        </is>
      </c>
    </row>
    <row r="15" ht="30" customHeight="1">
      <c r="A15" s="67" t="inlineStr">
        <is>
          <t>•</t>
        </is>
      </c>
      <c r="B15" s="66" t="inlineStr">
        <is>
          <t>Counts the exact number of days between events and charges interest on the balance that was outstanding during those days.</t>
        </is>
      </c>
    </row>
    <row r="16" ht="30" customHeight="1">
      <c r="A16" s="67" t="inlineStr">
        <is>
          <t>•</t>
        </is>
      </c>
      <c r="B16" s="66" t="inlineStr">
        <is>
          <t>At each quarter-end it debits the accumulated interest, adds it to the balance, and carries the new figure forward as the next quarter’s opening balance.</t>
        </is>
      </c>
    </row>
    <row r="17" ht="30" customHeight="1">
      <c r="A17" s="67" t="inlineStr">
        <is>
          <t>•</t>
        </is>
      </c>
      <c r="B17" s="66" t="inlineStr">
        <is>
          <t>Splits a quarter day-by-day when a rate revision takes effect inside that quarter, and prints the rates used on the quarter bar.</t>
        </is>
      </c>
    </row>
    <row r="18" ht="18" customHeight="1">
      <c r="A18" s="65" t="inlineStr">
        <is>
          <t>3.  HOW EARLIER PERIODS ARE PROTECTED FROM A LATER RATE CHANGE</t>
        </is>
      </c>
    </row>
    <row r="20" ht="45" customHeight="1">
      <c r="A20" s="67" t="inlineStr">
        <is>
          <t>•</t>
        </is>
      </c>
      <c r="B20" s="66" t="inlineStr">
        <is>
          <t>A revision is stored with an effective-from date. Interest for any day is computed at the rate in force on that day, so a rate that starts on 01-07-2026 mathematically cannot alter a quarter that ended on 30-06-2026.</t>
        </is>
      </c>
    </row>
    <row r="21" ht="60" customHeight="1">
      <c r="A21" s="67" t="inlineStr">
        <is>
          <t>•</t>
        </is>
      </c>
      <c r="B21" s="66" t="inlineStr">
        <is>
          <t>The cell ‘Locked / reconciled up to’ is the hard cut-off. Once you set it (normally the last quarter-end you have reconciled with the bank), the file refuses any transaction dated on or before it, and refuses any rate revision dated on or before it. Those quarters turn grey and are marked LOCKED.</t>
        </is>
      </c>
    </row>
    <row r="22" ht="45" customHeight="1">
      <c r="A22" s="67" t="inlineStr">
        <is>
          <t>•</t>
        </is>
      </c>
      <c r="B22" s="66" t="inlineStr">
        <is>
          <t>The title line at the top of every sheet always states the rate(s) on the file with their effective dates, and the Quarter Summary records the rate(s) used in each quarter – a permanent audit trail.</t>
        </is>
      </c>
    </row>
    <row r="23" ht="18" customHeight="1">
      <c r="A23" s="65" t="inlineStr">
        <is>
          <t>4.  WHY YOU CANNOT DAMAGE THE CALCULATIONS</t>
        </is>
      </c>
    </row>
    <row r="25" ht="30" customHeight="1">
      <c r="A25" s="67" t="inlineStr">
        <is>
          <t>•</t>
        </is>
      </c>
      <c r="B25" s="66" t="inlineStr">
        <is>
          <t>Every sheet is protected. Only the pale-yellow, gold-bordered cells accept typing; all formulas, dates, balances and totals are locked.</t>
        </is>
      </c>
    </row>
    <row r="26" ht="30" customHeight="1">
      <c r="A26" s="67" t="inlineStr">
        <is>
          <t>•</t>
        </is>
      </c>
      <c r="B26" s="66" t="inlineStr">
        <is>
          <t>Rows and columns cannot be inserted, deleted or sorted, and the workbook structure is locked, so sheets cannot be added, removed or unhidden.</t>
        </is>
      </c>
    </row>
    <row r="27" ht="30" customHeight="1">
      <c r="A27" s="67" t="inlineStr">
        <is>
          <t>•</t>
        </is>
      </c>
      <c r="B27" s="66" t="inlineStr">
        <is>
          <t>The calculation engine sits on a hidden, protected sheet, so the formulas cannot be reached even by accident.</t>
        </is>
      </c>
    </row>
    <row r="28" ht="45" customHeight="1">
      <c r="A28" s="67" t="inlineStr">
        <is>
          <t>•</t>
        </is>
      </c>
      <c r="B28" s="66" t="inlineStr">
        <is>
          <t>Data validation rejects impossible input: a repayment dated outside its quarter, out of sequence, or inside a locked period; an amount typed without a date; a rate outside 0–100%; a back-dated revision.</t>
        </is>
      </c>
    </row>
    <row r="29" ht="45" customHeight="1">
      <c r="A29" s="67" t="inlineStr">
        <is>
          <t>•</t>
        </is>
      </c>
      <c r="B29" s="66" t="inlineStr">
        <is>
          <t>The Variance column and the ‘Arithmetic check’ column on the Quarter Summary turn red the moment a figure stops agreeing with the bank or with the ledger, so any tampering is visible at a glance.</t>
        </is>
      </c>
    </row>
    <row r="30" ht="18" customHeight="1">
      <c r="A30" s="65" t="inlineStr">
        <is>
          <t>5.  PRACTICAL NOTES</t>
        </is>
      </c>
    </row>
    <row r="32" ht="30" customHeight="1">
      <c r="A32" s="67" t="inlineStr">
        <is>
          <t>•</t>
        </is>
      </c>
      <c r="B32" s="66" t="inlineStr">
        <is>
          <t>Ten repayment rows are provided per quarter and 24 quarters in total. Unused rows and future quarters simply show ‘–’.</t>
        </is>
      </c>
    </row>
    <row r="33" ht="45" customHeight="1">
      <c r="A33" s="67" t="inlineStr">
        <is>
          <t>•</t>
        </is>
      </c>
      <c r="B33" s="66" t="inlineStr">
        <is>
          <t>Convention: a repayment reduces the balance from its value date, and interest accrued during a quarter is charged at the quarter-end. Day count = actual days between dates ÷ basis.</t>
        </is>
      </c>
    </row>
    <row r="34" ht="30" customHeight="1">
      <c r="A34" s="67" t="inlineStr">
        <is>
          <t>•</t>
        </is>
      </c>
      <c r="B34" s="66" t="inlineStr">
        <is>
          <t>Interest is rounded to 2 decimals only at the moment it is capitalised, exactly like a bank ledger.</t>
        </is>
      </c>
    </row>
    <row r="35" ht="60" customHeight="1">
      <c r="A35" s="67" t="inlineStr">
        <is>
          <t>•</t>
        </is>
      </c>
      <c r="B35" s="66" t="inlineStr">
        <is>
          <t>Printing is set up for A4. The statement and the summary print landscape, scaled to one page wide, with the column headings repeated on every page, each quarter kept whole on a page, and ‘Page n of m’ in the footer. This guide prints A4 portrait. Just press Ctrl+P – no page setup needed.</t>
        </is>
      </c>
    </row>
    <row r="36" ht="30" customHeight="1">
      <c r="A36" s="67" t="inlineStr">
        <is>
          <t>•</t>
        </is>
      </c>
      <c r="B36" s="66" t="inlineStr">
        <is>
          <t>Sheet/workbook password: MMS-loan-2026 – keep it with the file owner. You only need it to change the structure (for example to add more repayment rows or quarters).</t>
        </is>
      </c>
    </row>
    <row r="37" ht="30" customHeight="1">
      <c r="A37" s="68" t="inlineStr">
        <is>
          <t>Ask for a rebuilt file if you need more than 3 rate slots, more rows per quarter, a longer tenure, or repayments split between interest and principal instead of quarter-end capitalisation.</t>
        </is>
      </c>
    </row>
  </sheetData>
  <sheetProtection selectLockedCells="0" selectUnlockedCells="0" sheet="1" objects="0" insertRows="1" insertHyperlinks="1" autoFilter="1" scenarios="0" formatColumns="1" deleteColumns="1" insertColumns="1" pivotTables="1" deleteRows="1" formatCells="1" formatRows="1" sort="1" password="F569"/>
  <mergeCells count="9">
    <mergeCell ref="A30:B30"/>
    <mergeCell ref="A5:B5"/>
    <mergeCell ref="A37:B37"/>
    <mergeCell ref="A1:B1"/>
    <mergeCell ref="A23:B23"/>
    <mergeCell ref="A18:B18"/>
    <mergeCell ref="A3:B3"/>
    <mergeCell ref="A6:B6"/>
    <mergeCell ref="A12:B12"/>
  </mergeCells>
  <printOptions horizontalCentered="1" gridLines="0"/>
  <pageMargins left="0.3" right="0.3" top="0.55" bottom="0.5" header="0.2" footer="0.2"/>
  <pageSetup orientation="portrait" paperSize="9" fitToHeight="0" fitToWidth="1"/>
  <headerFooter>
    <oddHeader>&amp;L&amp;8 Bank loan – quarterly compound interest file · user guide&amp;R&amp;8 Printed &amp;D</oddHeader>
    <oddFooter>&amp;L&amp;8 &amp;F&amp;C&amp;8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26" t="inlineStr">
        <is>
          <t>Big_Date</t>
        </is>
      </c>
      <c r="B1">
        <f>DATE(2999,12,31)</f>
        <v/>
      </c>
      <c r="D1" s="69" t="inlineStr">
        <is>
          <t>Q#</t>
        </is>
      </c>
      <c r="E1" s="69" t="inlineStr">
        <is>
          <t>Start</t>
        </is>
      </c>
      <c r="F1" s="69" t="inlineStr">
        <is>
          <t>End</t>
        </is>
      </c>
      <c r="G1" s="69" t="inlineStr">
        <is>
          <t>Rates in quarter</t>
        </is>
      </c>
    </row>
    <row r="2">
      <c r="A2" s="26" t="inlineStr">
        <is>
          <t>R1_From</t>
        </is>
      </c>
      <c r="B2">
        <f>'Loan Statement'!$K$7</f>
        <v/>
      </c>
      <c r="D2" t="n">
        <v>1</v>
      </c>
      <c r="E2" s="70">
        <f>IF('Loan Statement'!$H$6="",0,'Loan Statement'!$H$6)</f>
        <v/>
      </c>
      <c r="F2" s="70">
        <f>IF('Loan Statement'!$H$6="",0,IF('Loan Statement'!$H$9="Calendar quarter-ends",IF(EOMONTH('Loan Statement'!$H$6,MOD(3-MOD(MONTH('Loan Statement'!$H$6),3),3))='Loan Statement'!$H$6,EOMONTH('Loan Statement'!$H$6,3),EOMONTH('Loan Statement'!$H$6,MOD(3-MOD(MONTH('Loan Statement'!$H$6),3),3))),EDATE('Loan Statement'!$H$6,3)))</f>
        <v/>
      </c>
      <c r="G2">
        <f>TRIM(IF(MAX(0,MIN($F$2,$B$3)-MAX($E$2,$B$2))&gt;0,TEXT($B$8,"0.00")&amp;"% for "&amp;MAX(0,MIN($F$2,$B$3)-MAX($E$2,$B$2))&amp;IF(MAX(0,MIN($F$2,$B$3)-MAX($E$2,$B$2))=1," day   "," days   "),"")&amp;IF(MAX(0,MIN($F$2,$B$5)-MAX($E$2,$B$4))&gt;0,TEXT($B$9,"0.00")&amp;"% for "&amp;MAX(0,MIN($F$2,$B$5)-MAX($E$2,$B$4))&amp;IF(MAX(0,MIN($F$2,$B$5)-MAX($E$2,$B$4))=1," day   "," days   "),"")&amp;IF(MAX(0,MIN($F$2,$B$7)-MAX($E$2,$B$6))&gt;0,TEXT($B$10,"0.00")&amp;"% for "&amp;MAX(0,MIN($F$2,$B$7)-MAX($E$2,$B$6))&amp;IF(MAX(0,MIN($F$2,$B$7)-MAX($E$2,$B$6))=1," day   "," days   "),""))</f>
        <v/>
      </c>
    </row>
    <row r="3">
      <c r="A3" s="26" t="inlineStr">
        <is>
          <t>R1_To</t>
        </is>
      </c>
      <c r="B3">
        <f>IF('Loan Statement'!$K$8="",$B$1,'Loan Statement'!$K$8)</f>
        <v/>
      </c>
      <c r="D3" t="n">
        <v>2</v>
      </c>
      <c r="E3" s="70">
        <f>$F$2</f>
        <v/>
      </c>
      <c r="F3" s="70">
        <f>IF($F$2=0,0,IF('Loan Statement'!$H$9="Calendar quarter-ends",EOMONTH($F$2,3),EDATE($F$2,3)))</f>
        <v/>
      </c>
      <c r="G3">
        <f>TRIM(IF(MAX(0,MIN($F$3,$B$3)-MAX($E$3,$B$2))&gt;0,TEXT($B$8,"0.00")&amp;"% for "&amp;MAX(0,MIN($F$3,$B$3)-MAX($E$3,$B$2))&amp;IF(MAX(0,MIN($F$3,$B$3)-MAX($E$3,$B$2))=1," day   "," days   "),"")&amp;IF(MAX(0,MIN($F$3,$B$5)-MAX($E$3,$B$4))&gt;0,TEXT($B$9,"0.00")&amp;"% for "&amp;MAX(0,MIN($F$3,$B$5)-MAX($E$3,$B$4))&amp;IF(MAX(0,MIN($F$3,$B$5)-MAX($E$3,$B$4))=1," day   "," days   "),"")&amp;IF(MAX(0,MIN($F$3,$B$7)-MAX($E$3,$B$6))&gt;0,TEXT($B$10,"0.00")&amp;"% for "&amp;MAX(0,MIN($F$3,$B$7)-MAX($E$3,$B$6))&amp;IF(MAX(0,MIN($F$3,$B$7)-MAX($E$3,$B$6))=1," day   "," days   "),""))</f>
        <v/>
      </c>
    </row>
    <row r="4">
      <c r="A4" s="26" t="inlineStr">
        <is>
          <t>R2_From</t>
        </is>
      </c>
      <c r="B4">
        <f>IF('Loan Statement'!$K$8="",$B$1,'Loan Statement'!$K$8)</f>
        <v/>
      </c>
      <c r="D4" t="n">
        <v>3</v>
      </c>
      <c r="E4" s="70">
        <f>$F$3</f>
        <v/>
      </c>
      <c r="F4" s="70">
        <f>IF($F$3=0,0,IF('Loan Statement'!$H$9="Calendar quarter-ends",EOMONTH($F$3,3),EDATE($F$3,3)))</f>
        <v/>
      </c>
      <c r="G4">
        <f>TRIM(IF(MAX(0,MIN($F$4,$B$3)-MAX($E$4,$B$2))&gt;0,TEXT($B$8,"0.00")&amp;"% for "&amp;MAX(0,MIN($F$4,$B$3)-MAX($E$4,$B$2))&amp;IF(MAX(0,MIN($F$4,$B$3)-MAX($E$4,$B$2))=1," day   "," days   "),"")&amp;IF(MAX(0,MIN($F$4,$B$5)-MAX($E$4,$B$4))&gt;0,TEXT($B$9,"0.00")&amp;"% for "&amp;MAX(0,MIN($F$4,$B$5)-MAX($E$4,$B$4))&amp;IF(MAX(0,MIN($F$4,$B$5)-MAX($E$4,$B$4))=1," day   "," days   "),"")&amp;IF(MAX(0,MIN($F$4,$B$7)-MAX($E$4,$B$6))&gt;0,TEXT($B$10,"0.00")&amp;"% for "&amp;MAX(0,MIN($F$4,$B$7)-MAX($E$4,$B$6))&amp;IF(MAX(0,MIN($F$4,$B$7)-MAX($E$4,$B$6))=1," day   "," days   "),""))</f>
        <v/>
      </c>
    </row>
    <row r="5">
      <c r="A5" s="26" t="inlineStr">
        <is>
          <t>R2_To</t>
        </is>
      </c>
      <c r="B5">
        <f>IF('Loan Statement'!$K$9="",$B$1,'Loan Statement'!$K$9)</f>
        <v/>
      </c>
      <c r="D5" t="n">
        <v>4</v>
      </c>
      <c r="E5" s="70">
        <f>$F$4</f>
        <v/>
      </c>
      <c r="F5" s="70">
        <f>IF($F$4=0,0,IF('Loan Statement'!$H$9="Calendar quarter-ends",EOMONTH($F$4,3),EDATE($F$4,3)))</f>
        <v/>
      </c>
      <c r="G5">
        <f>TRIM(IF(MAX(0,MIN($F$5,$B$3)-MAX($E$5,$B$2))&gt;0,TEXT($B$8,"0.00")&amp;"% for "&amp;MAX(0,MIN($F$5,$B$3)-MAX($E$5,$B$2))&amp;IF(MAX(0,MIN($F$5,$B$3)-MAX($E$5,$B$2))=1," day   "," days   "),"")&amp;IF(MAX(0,MIN($F$5,$B$5)-MAX($E$5,$B$4))&gt;0,TEXT($B$9,"0.00")&amp;"% for "&amp;MAX(0,MIN($F$5,$B$5)-MAX($E$5,$B$4))&amp;IF(MAX(0,MIN($F$5,$B$5)-MAX($E$5,$B$4))=1," day   "," days   "),"")&amp;IF(MAX(0,MIN($F$5,$B$7)-MAX($E$5,$B$6))&gt;0,TEXT($B$10,"0.00")&amp;"% for "&amp;MAX(0,MIN($F$5,$B$7)-MAX($E$5,$B$6))&amp;IF(MAX(0,MIN($F$5,$B$7)-MAX($E$5,$B$6))=1," day   "," days   "),""))</f>
        <v/>
      </c>
    </row>
    <row r="6">
      <c r="A6" s="26" t="inlineStr">
        <is>
          <t>R3_From</t>
        </is>
      </c>
      <c r="B6">
        <f>IF('Loan Statement'!$K$9="",$B$1,'Loan Statement'!$K$9)</f>
        <v/>
      </c>
      <c r="D6" t="n">
        <v>5</v>
      </c>
      <c r="E6" s="70">
        <f>$F$5</f>
        <v/>
      </c>
      <c r="F6" s="70">
        <f>IF($F$5=0,0,IF('Loan Statement'!$H$9="Calendar quarter-ends",EOMONTH($F$5,3),EDATE($F$5,3)))</f>
        <v/>
      </c>
      <c r="G6">
        <f>TRIM(IF(MAX(0,MIN($F$6,$B$3)-MAX($E$6,$B$2))&gt;0,TEXT($B$8,"0.00")&amp;"% for "&amp;MAX(0,MIN($F$6,$B$3)-MAX($E$6,$B$2))&amp;IF(MAX(0,MIN($F$6,$B$3)-MAX($E$6,$B$2))=1," day   "," days   "),"")&amp;IF(MAX(0,MIN($F$6,$B$5)-MAX($E$6,$B$4))&gt;0,TEXT($B$9,"0.00")&amp;"% for "&amp;MAX(0,MIN($F$6,$B$5)-MAX($E$6,$B$4))&amp;IF(MAX(0,MIN($F$6,$B$5)-MAX($E$6,$B$4))=1," day   "," days   "),"")&amp;IF(MAX(0,MIN($F$6,$B$7)-MAX($E$6,$B$6))&gt;0,TEXT($B$10,"0.00")&amp;"% for "&amp;MAX(0,MIN($F$6,$B$7)-MAX($E$6,$B$6))&amp;IF(MAX(0,MIN($F$6,$B$7)-MAX($E$6,$B$6))=1," day   "," days   "),""))</f>
        <v/>
      </c>
    </row>
    <row r="7">
      <c r="A7" s="26" t="inlineStr">
        <is>
          <t>R3_To</t>
        </is>
      </c>
      <c r="B7">
        <f>$B$1</f>
        <v/>
      </c>
      <c r="D7" t="n">
        <v>6</v>
      </c>
      <c r="E7" s="70">
        <f>$F$6</f>
        <v/>
      </c>
      <c r="F7" s="70">
        <f>IF($F$6=0,0,IF('Loan Statement'!$H$9="Calendar quarter-ends",EOMONTH($F$6,3),EDATE($F$6,3)))</f>
        <v/>
      </c>
      <c r="G7">
        <f>TRIM(IF(MAX(0,MIN($F$7,$B$3)-MAX($E$7,$B$2))&gt;0,TEXT($B$8,"0.00")&amp;"% for "&amp;MAX(0,MIN($F$7,$B$3)-MAX($E$7,$B$2))&amp;IF(MAX(0,MIN($F$7,$B$3)-MAX($E$7,$B$2))=1," day   "," days   "),"")&amp;IF(MAX(0,MIN($F$7,$B$5)-MAX($E$7,$B$4))&gt;0,TEXT($B$9,"0.00")&amp;"% for "&amp;MAX(0,MIN($F$7,$B$5)-MAX($E$7,$B$4))&amp;IF(MAX(0,MIN($F$7,$B$5)-MAX($E$7,$B$4))=1," day   "," days   "),"")&amp;IF(MAX(0,MIN($F$7,$B$7)-MAX($E$7,$B$6))&gt;0,TEXT($B$10,"0.00")&amp;"% for "&amp;MAX(0,MIN($F$7,$B$7)-MAX($E$7,$B$6))&amp;IF(MAX(0,MIN($F$7,$B$7)-MAX($E$7,$B$6))=1," day   "," days   "),""))</f>
        <v/>
      </c>
    </row>
    <row r="8">
      <c r="A8" s="26" t="inlineStr">
        <is>
          <t>Rate_1</t>
        </is>
      </c>
      <c r="B8">
        <f>IF('Loan Statement'!$L$7="",0,'Loan Statement'!$L$7)</f>
        <v/>
      </c>
      <c r="D8" t="n">
        <v>7</v>
      </c>
      <c r="E8" s="70">
        <f>$F$7</f>
        <v/>
      </c>
      <c r="F8" s="70">
        <f>IF($F$7=0,0,IF('Loan Statement'!$H$9="Calendar quarter-ends",EOMONTH($F$7,3),EDATE($F$7,3)))</f>
        <v/>
      </c>
      <c r="G8">
        <f>TRIM(IF(MAX(0,MIN($F$8,$B$3)-MAX($E$8,$B$2))&gt;0,TEXT($B$8,"0.00")&amp;"% for "&amp;MAX(0,MIN($F$8,$B$3)-MAX($E$8,$B$2))&amp;IF(MAX(0,MIN($F$8,$B$3)-MAX($E$8,$B$2))=1," day   "," days   "),"")&amp;IF(MAX(0,MIN($F$8,$B$5)-MAX($E$8,$B$4))&gt;0,TEXT($B$9,"0.00")&amp;"% for "&amp;MAX(0,MIN($F$8,$B$5)-MAX($E$8,$B$4))&amp;IF(MAX(0,MIN($F$8,$B$5)-MAX($E$8,$B$4))=1," day   "," days   "),"")&amp;IF(MAX(0,MIN($F$8,$B$7)-MAX($E$8,$B$6))&gt;0,TEXT($B$10,"0.00")&amp;"% for "&amp;MAX(0,MIN($F$8,$B$7)-MAX($E$8,$B$6))&amp;IF(MAX(0,MIN($F$8,$B$7)-MAX($E$8,$B$6))=1," day   "," days   "),""))</f>
        <v/>
      </c>
    </row>
    <row r="9">
      <c r="A9" s="26" t="inlineStr">
        <is>
          <t>Rate_2</t>
        </is>
      </c>
      <c r="B9">
        <f>IF('Loan Statement'!$L$8="",0,'Loan Statement'!$L$8)</f>
        <v/>
      </c>
      <c r="D9" t="n">
        <v>8</v>
      </c>
      <c r="E9" s="70">
        <f>$F$8</f>
        <v/>
      </c>
      <c r="F9" s="70">
        <f>IF($F$8=0,0,IF('Loan Statement'!$H$9="Calendar quarter-ends",EOMONTH($F$8,3),EDATE($F$8,3)))</f>
        <v/>
      </c>
      <c r="G9">
        <f>TRIM(IF(MAX(0,MIN($F$9,$B$3)-MAX($E$9,$B$2))&gt;0,TEXT($B$8,"0.00")&amp;"% for "&amp;MAX(0,MIN($F$9,$B$3)-MAX($E$9,$B$2))&amp;IF(MAX(0,MIN($F$9,$B$3)-MAX($E$9,$B$2))=1," day   "," days   "),"")&amp;IF(MAX(0,MIN($F$9,$B$5)-MAX($E$9,$B$4))&gt;0,TEXT($B$9,"0.00")&amp;"% for "&amp;MAX(0,MIN($F$9,$B$5)-MAX($E$9,$B$4))&amp;IF(MAX(0,MIN($F$9,$B$5)-MAX($E$9,$B$4))=1," day   "," days   "),"")&amp;IF(MAX(0,MIN($F$9,$B$7)-MAX($E$9,$B$6))&gt;0,TEXT($B$10,"0.00")&amp;"% for "&amp;MAX(0,MIN($F$9,$B$7)-MAX($E$9,$B$6))&amp;IF(MAX(0,MIN($F$9,$B$7)-MAX($E$9,$B$6))=1," day   "," days   "),""))</f>
        <v/>
      </c>
    </row>
    <row r="10">
      <c r="A10" s="26" t="inlineStr">
        <is>
          <t>Rate_3</t>
        </is>
      </c>
      <c r="B10">
        <f>IF('Loan Statement'!$L$9="",0,'Loan Statement'!$L$9)</f>
        <v/>
      </c>
      <c r="D10" t="n">
        <v>9</v>
      </c>
      <c r="E10" s="70">
        <f>$F$9</f>
        <v/>
      </c>
      <c r="F10" s="70">
        <f>IF($F$9=0,0,IF('Loan Statement'!$H$9="Calendar quarter-ends",EOMONTH($F$9,3),EDATE($F$9,3)))</f>
        <v/>
      </c>
      <c r="G10">
        <f>TRIM(IF(MAX(0,MIN($F$10,$B$3)-MAX($E$10,$B$2))&gt;0,TEXT($B$8,"0.00")&amp;"% for "&amp;MAX(0,MIN($F$10,$B$3)-MAX($E$10,$B$2))&amp;IF(MAX(0,MIN($F$10,$B$3)-MAX($E$10,$B$2))=1," day   "," days   "),"")&amp;IF(MAX(0,MIN($F$10,$B$5)-MAX($E$10,$B$4))&gt;0,TEXT($B$9,"0.00")&amp;"% for "&amp;MAX(0,MIN($F$10,$B$5)-MAX($E$10,$B$4))&amp;IF(MAX(0,MIN($F$10,$B$5)-MAX($E$10,$B$4))=1," day   "," days   "),"")&amp;IF(MAX(0,MIN($F$10,$B$7)-MAX($E$10,$B$6))&gt;0,TEXT($B$10,"0.00")&amp;"% for "&amp;MAX(0,MIN($F$10,$B$7)-MAX($E$10,$B$6))&amp;IF(MAX(0,MIN($F$10,$B$7)-MAX($E$10,$B$6))=1," day   "," days   "),""))</f>
        <v/>
      </c>
    </row>
    <row r="11">
      <c r="D11" t="n">
        <v>10</v>
      </c>
      <c r="E11" s="70">
        <f>$F$10</f>
        <v/>
      </c>
      <c r="F11" s="70">
        <f>IF($F$10=0,0,IF('Loan Statement'!$H$9="Calendar quarter-ends",EOMONTH($F$10,3),EDATE($F$10,3)))</f>
        <v/>
      </c>
      <c r="G11">
        <f>TRIM(IF(MAX(0,MIN($F$11,$B$3)-MAX($E$11,$B$2))&gt;0,TEXT($B$8,"0.00")&amp;"% for "&amp;MAX(0,MIN($F$11,$B$3)-MAX($E$11,$B$2))&amp;IF(MAX(0,MIN($F$11,$B$3)-MAX($E$11,$B$2))=1," day   "," days   "),"")&amp;IF(MAX(0,MIN($F$11,$B$5)-MAX($E$11,$B$4))&gt;0,TEXT($B$9,"0.00")&amp;"% for "&amp;MAX(0,MIN($F$11,$B$5)-MAX($E$11,$B$4))&amp;IF(MAX(0,MIN($F$11,$B$5)-MAX($E$11,$B$4))=1," day   "," days   "),"")&amp;IF(MAX(0,MIN($F$11,$B$7)-MAX($E$11,$B$6))&gt;0,TEXT($B$10,"0.00")&amp;"% for "&amp;MAX(0,MIN($F$11,$B$7)-MAX($E$11,$B$6))&amp;IF(MAX(0,MIN($F$11,$B$7)-MAX($E$11,$B$6))=1," day   "," days   "),""))</f>
        <v/>
      </c>
    </row>
    <row r="12">
      <c r="A12" s="26" t="inlineStr">
        <is>
          <t>Bal_Today</t>
        </is>
      </c>
      <c r="B12">
        <f>IFERROR(LOOKUP(TODAY(),'Loan Statement'!$O$14:$O$325,'Loan Statement'!$S$14:$S$325),'Loan Statement'!$H$7)</f>
        <v/>
      </c>
      <c r="D12" t="n">
        <v>11</v>
      </c>
      <c r="E12" s="70">
        <f>$F$11</f>
        <v/>
      </c>
      <c r="F12" s="70">
        <f>IF($F$11=0,0,IF('Loan Statement'!$H$9="Calendar quarter-ends",EOMONTH($F$11,3),EDATE($F$11,3)))</f>
        <v/>
      </c>
      <c r="G12">
        <f>TRIM(IF(MAX(0,MIN($F$12,$B$3)-MAX($E$12,$B$2))&gt;0,TEXT($B$8,"0.00")&amp;"% for "&amp;MAX(0,MIN($F$12,$B$3)-MAX($E$12,$B$2))&amp;IF(MAX(0,MIN($F$12,$B$3)-MAX($E$12,$B$2))=1," day   "," days   "),"")&amp;IF(MAX(0,MIN($F$12,$B$5)-MAX($E$12,$B$4))&gt;0,TEXT($B$9,"0.00")&amp;"% for "&amp;MAX(0,MIN($F$12,$B$5)-MAX($E$12,$B$4))&amp;IF(MAX(0,MIN($F$12,$B$5)-MAX($E$12,$B$4))=1," day   "," days   "),"")&amp;IF(MAX(0,MIN($F$12,$B$7)-MAX($E$12,$B$6))&gt;0,TEXT($B$10,"0.00")&amp;"% for "&amp;MAX(0,MIN($F$12,$B$7)-MAX($E$12,$B$6))&amp;IF(MAX(0,MIN($F$12,$B$7)-MAX($E$12,$B$6))=1," day   "," days   "),""))</f>
        <v/>
      </c>
    </row>
    <row r="13">
      <c r="A13" s="26" t="inlineStr">
        <is>
          <t>Last_Event</t>
        </is>
      </c>
      <c r="B13">
        <f>IFERROR(LOOKUP(TODAY(),'Loan Statement'!$O$14:$O$325,'Loan Statement'!$O$14:$O$325),'Loan Statement'!$H$6)</f>
        <v/>
      </c>
      <c r="D13" t="n">
        <v>12</v>
      </c>
      <c r="E13" s="70">
        <f>$F$12</f>
        <v/>
      </c>
      <c r="F13" s="70">
        <f>IF($F$12=0,0,IF('Loan Statement'!$H$9="Calendar quarter-ends",EOMONTH($F$12,3),EDATE($F$12,3)))</f>
        <v/>
      </c>
      <c r="G13">
        <f>TRIM(IF(MAX(0,MIN($F$13,$B$3)-MAX($E$13,$B$2))&gt;0,TEXT($B$8,"0.00")&amp;"% for "&amp;MAX(0,MIN($F$13,$B$3)-MAX($E$13,$B$2))&amp;IF(MAX(0,MIN($F$13,$B$3)-MAX($E$13,$B$2))=1," day   "," days   "),"")&amp;IF(MAX(0,MIN($F$13,$B$5)-MAX($E$13,$B$4))&gt;0,TEXT($B$9,"0.00")&amp;"% for "&amp;MAX(0,MIN($F$13,$B$5)-MAX($E$13,$B$4))&amp;IF(MAX(0,MIN($F$13,$B$5)-MAX($E$13,$B$4))=1," day   "," days   "),"")&amp;IF(MAX(0,MIN($F$13,$B$7)-MAX($E$13,$B$6))&gt;0,TEXT($B$10,"0.00")&amp;"% for "&amp;MAX(0,MIN($F$13,$B$7)-MAX($E$13,$B$6))&amp;IF(MAX(0,MIN($F$13,$B$7)-MAX($E$13,$B$6))=1," day   "," days   "),""))</f>
        <v/>
      </c>
    </row>
    <row r="14">
      <c r="A14" s="26" t="inlineStr">
        <is>
          <t>Accr_Today</t>
        </is>
      </c>
      <c r="B14">
        <f>IF(OR('Loan Statement'!$H$8=0,'Loan Statement'!$H$8=""),0,IFERROR(LOOKUP(TODAY(),'Loan Statement'!$O$14:$O$325,'Loan Statement'!$T$14:$T$325),0)+$B$12*($B$8*MAX(0,MIN(TODAY(),$B$3)-MAX($B$13,$B$2))+$B$9*MAX(0,MIN(TODAY(),$B$5)-MAX($B$13,$B$4))+$B$10*MAX(0,MIN(TODAY(),$B$7)-MAX($B$13,$B$6)))/100/'Loan Statement'!$H$8)</f>
        <v/>
      </c>
      <c r="D14" t="n">
        <v>13</v>
      </c>
      <c r="E14" s="70">
        <f>$F$13</f>
        <v/>
      </c>
      <c r="F14" s="70">
        <f>IF($F$13=0,0,IF('Loan Statement'!$H$9="Calendar quarter-ends",EOMONTH($F$13,3),EDATE($F$13,3)))</f>
        <v/>
      </c>
      <c r="G14">
        <f>TRIM(IF(MAX(0,MIN($F$14,$B$3)-MAX($E$14,$B$2))&gt;0,TEXT($B$8,"0.00")&amp;"% for "&amp;MAX(0,MIN($F$14,$B$3)-MAX($E$14,$B$2))&amp;IF(MAX(0,MIN($F$14,$B$3)-MAX($E$14,$B$2))=1," day   "," days   "),"")&amp;IF(MAX(0,MIN($F$14,$B$5)-MAX($E$14,$B$4))&gt;0,TEXT($B$9,"0.00")&amp;"% for "&amp;MAX(0,MIN($F$14,$B$5)-MAX($E$14,$B$4))&amp;IF(MAX(0,MIN($F$14,$B$5)-MAX($E$14,$B$4))=1," day   "," days   "),"")&amp;IF(MAX(0,MIN($F$14,$B$7)-MAX($E$14,$B$6))&gt;0,TEXT($B$10,"0.00")&amp;"% for "&amp;MAX(0,MIN($F$14,$B$7)-MAX($E$14,$B$6))&amp;IF(MAX(0,MIN($F$14,$B$7)-MAX($E$14,$B$6))=1," day   "," days   "),""))</f>
        <v/>
      </c>
    </row>
    <row r="15">
      <c r="A15" s="26" t="inlineStr">
        <is>
          <t>Out_Today</t>
        </is>
      </c>
      <c r="B15">
        <f>$B$12+$B$14</f>
        <v/>
      </c>
      <c r="D15" t="n">
        <v>14</v>
      </c>
      <c r="E15" s="70">
        <f>$F$14</f>
        <v/>
      </c>
      <c r="F15" s="70">
        <f>IF($F$14=0,0,IF('Loan Statement'!$H$9="Calendar quarter-ends",EOMONTH($F$14,3),EDATE($F$14,3)))</f>
        <v/>
      </c>
      <c r="G15">
        <f>TRIM(IF(MAX(0,MIN($F$15,$B$3)-MAX($E$15,$B$2))&gt;0,TEXT($B$8,"0.00")&amp;"% for "&amp;MAX(0,MIN($F$15,$B$3)-MAX($E$15,$B$2))&amp;IF(MAX(0,MIN($F$15,$B$3)-MAX($E$15,$B$2))=1," day   "," days   "),"")&amp;IF(MAX(0,MIN($F$15,$B$5)-MAX($E$15,$B$4))&gt;0,TEXT($B$9,"0.00")&amp;"% for "&amp;MAX(0,MIN($F$15,$B$5)-MAX($E$15,$B$4))&amp;IF(MAX(0,MIN($F$15,$B$5)-MAX($E$15,$B$4))=1," day   "," days   "),"")&amp;IF(MAX(0,MIN($F$15,$B$7)-MAX($E$15,$B$6))&gt;0,TEXT($B$10,"0.00")&amp;"% for "&amp;MAX(0,MIN($F$15,$B$7)-MAX($E$15,$B$6))&amp;IF(MAX(0,MIN($F$15,$B$7)-MAX($E$15,$B$6))=1," day   "," days   "),""))</f>
        <v/>
      </c>
    </row>
    <row r="16">
      <c r="A16" s="26" t="inlineStr">
        <is>
          <t>Total_Repaid</t>
        </is>
      </c>
      <c r="B16">
        <f>SUM('Loan Statement'!$F$14:$F$325)</f>
        <v/>
      </c>
      <c r="D16" t="n">
        <v>15</v>
      </c>
      <c r="E16" s="70">
        <f>$F$15</f>
        <v/>
      </c>
      <c r="F16" s="70">
        <f>IF($F$15=0,0,IF('Loan Statement'!$H$9="Calendar quarter-ends",EOMONTH($F$15,3),EDATE($F$15,3)))</f>
        <v/>
      </c>
      <c r="G16">
        <f>TRIM(IF(MAX(0,MIN($F$16,$B$3)-MAX($E$16,$B$2))&gt;0,TEXT($B$8,"0.00")&amp;"% for "&amp;MAX(0,MIN($F$16,$B$3)-MAX($E$16,$B$2))&amp;IF(MAX(0,MIN($F$16,$B$3)-MAX($E$16,$B$2))=1," day   "," days   "),"")&amp;IF(MAX(0,MIN($F$16,$B$5)-MAX($E$16,$B$4))&gt;0,TEXT($B$9,"0.00")&amp;"% for "&amp;MAX(0,MIN($F$16,$B$5)-MAX($E$16,$B$4))&amp;IF(MAX(0,MIN($F$16,$B$5)-MAX($E$16,$B$4))=1," day   "," days   "),"")&amp;IF(MAX(0,MIN($F$16,$B$7)-MAX($E$16,$B$6))&gt;0,TEXT($B$10,"0.00")&amp;"% for "&amp;MAX(0,MIN($F$16,$B$7)-MAX($E$16,$B$6))&amp;IF(MAX(0,MIN($F$16,$B$7)-MAX($E$16,$B$6))=1," day   "," days   "),""))</f>
        <v/>
      </c>
    </row>
    <row r="17">
      <c r="A17" s="26" t="inlineStr">
        <is>
          <t>Total_Interest</t>
        </is>
      </c>
      <c r="B17">
        <f>SUM('Loan Statement'!$E$14:$E$325)</f>
        <v/>
      </c>
      <c r="D17" t="n">
        <v>16</v>
      </c>
      <c r="E17" s="70">
        <f>$F$16</f>
        <v/>
      </c>
      <c r="F17" s="70">
        <f>IF($F$16=0,0,IF('Loan Statement'!$H$9="Calendar quarter-ends",EOMONTH($F$16,3),EDATE($F$16,3)))</f>
        <v/>
      </c>
      <c r="G17">
        <f>TRIM(IF(MAX(0,MIN($F$17,$B$3)-MAX($E$17,$B$2))&gt;0,TEXT($B$8,"0.00")&amp;"% for "&amp;MAX(0,MIN($F$17,$B$3)-MAX($E$17,$B$2))&amp;IF(MAX(0,MIN($F$17,$B$3)-MAX($E$17,$B$2))=1," day   "," days   "),"")&amp;IF(MAX(0,MIN($F$17,$B$5)-MAX($E$17,$B$4))&gt;0,TEXT($B$9,"0.00")&amp;"% for "&amp;MAX(0,MIN($F$17,$B$5)-MAX($E$17,$B$4))&amp;IF(MAX(0,MIN($F$17,$B$5)-MAX($E$17,$B$4))=1," day   "," days   "),"")&amp;IF(MAX(0,MIN($F$17,$B$7)-MAX($E$17,$B$6))&gt;0,TEXT($B$10,"0.00")&amp;"% for "&amp;MAX(0,MIN($F$17,$B$7)-MAX($E$17,$B$6))&amp;IF(MAX(0,MIN($F$17,$B$7)-MAX($E$17,$B$6))=1," day   "," days   "),""))</f>
        <v/>
      </c>
    </row>
    <row r="18">
      <c r="A18" s="26" t="inlineStr">
        <is>
          <t>Variance_Rows</t>
        </is>
      </c>
      <c r="B18">
        <f>COUNTIF('Loan Statement'!$M$14:$M$325,"&gt;0.004")+COUNTIF('Loan Statement'!$M$14:$M$325,"&lt;-0.004")</f>
        <v/>
      </c>
      <c r="D18" t="n">
        <v>17</v>
      </c>
      <c r="E18" s="70">
        <f>$F$17</f>
        <v/>
      </c>
      <c r="F18" s="70">
        <f>IF($F$17=0,0,IF('Loan Statement'!$H$9="Calendar quarter-ends",EOMONTH($F$17,3),EDATE($F$17,3)))</f>
        <v/>
      </c>
      <c r="G18">
        <f>TRIM(IF(MAX(0,MIN($F$18,$B$3)-MAX($E$18,$B$2))&gt;0,TEXT($B$8,"0.00")&amp;"% for "&amp;MAX(0,MIN($F$18,$B$3)-MAX($E$18,$B$2))&amp;IF(MAX(0,MIN($F$18,$B$3)-MAX($E$18,$B$2))=1," day   "," days   "),"")&amp;IF(MAX(0,MIN($F$18,$B$5)-MAX($E$18,$B$4))&gt;0,TEXT($B$9,"0.00")&amp;"% for "&amp;MAX(0,MIN($F$18,$B$5)-MAX($E$18,$B$4))&amp;IF(MAX(0,MIN($F$18,$B$5)-MAX($E$18,$B$4))=1," day   "," days   "),"")&amp;IF(MAX(0,MIN($F$18,$B$7)-MAX($E$18,$B$6))&gt;0,TEXT($B$10,"0.00")&amp;"% for "&amp;MAX(0,MIN($F$18,$B$7)-MAX($E$18,$B$6))&amp;IF(MAX(0,MIN($F$18,$B$7)-MAX($E$18,$B$6))=1," day   "," days   "),""))</f>
        <v/>
      </c>
    </row>
    <row r="19">
      <c r="D19" t="n">
        <v>18</v>
      </c>
      <c r="E19" s="70">
        <f>$F$18</f>
        <v/>
      </c>
      <c r="F19" s="70">
        <f>IF($F$18=0,0,IF('Loan Statement'!$H$9="Calendar quarter-ends",EOMONTH($F$18,3),EDATE($F$18,3)))</f>
        <v/>
      </c>
      <c r="G19">
        <f>TRIM(IF(MAX(0,MIN($F$19,$B$3)-MAX($E$19,$B$2))&gt;0,TEXT($B$8,"0.00")&amp;"% for "&amp;MAX(0,MIN($F$19,$B$3)-MAX($E$19,$B$2))&amp;IF(MAX(0,MIN($F$19,$B$3)-MAX($E$19,$B$2))=1," day   "," days   "),"")&amp;IF(MAX(0,MIN($F$19,$B$5)-MAX($E$19,$B$4))&gt;0,TEXT($B$9,"0.00")&amp;"% for "&amp;MAX(0,MIN($F$19,$B$5)-MAX($E$19,$B$4))&amp;IF(MAX(0,MIN($F$19,$B$5)-MAX($E$19,$B$4))=1," day   "," days   "),"")&amp;IF(MAX(0,MIN($F$19,$B$7)-MAX($E$19,$B$6))&gt;0,TEXT($B$10,"0.00")&amp;"% for "&amp;MAX(0,MIN($F$19,$B$7)-MAX($E$19,$B$6))&amp;IF(MAX(0,MIN($F$19,$B$7)-MAX($E$19,$B$6))=1," day   "," days   "),""))</f>
        <v/>
      </c>
    </row>
    <row r="20">
      <c r="D20" t="n">
        <v>19</v>
      </c>
      <c r="E20" s="70">
        <f>$F$19</f>
        <v/>
      </c>
      <c r="F20" s="70">
        <f>IF($F$19=0,0,IF('Loan Statement'!$H$9="Calendar quarter-ends",EOMONTH($F$19,3),EDATE($F$19,3)))</f>
        <v/>
      </c>
      <c r="G20">
        <f>TRIM(IF(MAX(0,MIN($F$20,$B$3)-MAX($E$20,$B$2))&gt;0,TEXT($B$8,"0.00")&amp;"% for "&amp;MAX(0,MIN($F$20,$B$3)-MAX($E$20,$B$2))&amp;IF(MAX(0,MIN($F$20,$B$3)-MAX($E$20,$B$2))=1," day   "," days   "),"")&amp;IF(MAX(0,MIN($F$20,$B$5)-MAX($E$20,$B$4))&gt;0,TEXT($B$9,"0.00")&amp;"% for "&amp;MAX(0,MIN($F$20,$B$5)-MAX($E$20,$B$4))&amp;IF(MAX(0,MIN($F$20,$B$5)-MAX($E$20,$B$4))=1," day   "," days   "),"")&amp;IF(MAX(0,MIN($F$20,$B$7)-MAX($E$20,$B$6))&gt;0,TEXT($B$10,"0.00")&amp;"% for "&amp;MAX(0,MIN($F$20,$B$7)-MAX($E$20,$B$6))&amp;IF(MAX(0,MIN($F$20,$B$7)-MAX($E$20,$B$6))=1," day   "," days   "),""))</f>
        <v/>
      </c>
    </row>
    <row r="21">
      <c r="D21" t="n">
        <v>20</v>
      </c>
      <c r="E21" s="70">
        <f>$F$20</f>
        <v/>
      </c>
      <c r="F21" s="70">
        <f>IF($F$20=0,0,IF('Loan Statement'!$H$9="Calendar quarter-ends",EOMONTH($F$20,3),EDATE($F$20,3)))</f>
        <v/>
      </c>
      <c r="G21">
        <f>TRIM(IF(MAX(0,MIN($F$21,$B$3)-MAX($E$21,$B$2))&gt;0,TEXT($B$8,"0.00")&amp;"% for "&amp;MAX(0,MIN($F$21,$B$3)-MAX($E$21,$B$2))&amp;IF(MAX(0,MIN($F$21,$B$3)-MAX($E$21,$B$2))=1," day   "," days   "),"")&amp;IF(MAX(0,MIN($F$21,$B$5)-MAX($E$21,$B$4))&gt;0,TEXT($B$9,"0.00")&amp;"% for "&amp;MAX(0,MIN($F$21,$B$5)-MAX($E$21,$B$4))&amp;IF(MAX(0,MIN($F$21,$B$5)-MAX($E$21,$B$4))=1," day   "," days   "),"")&amp;IF(MAX(0,MIN($F$21,$B$7)-MAX($E$21,$B$6))&gt;0,TEXT($B$10,"0.00")&amp;"% for "&amp;MAX(0,MIN($F$21,$B$7)-MAX($E$21,$B$6))&amp;IF(MAX(0,MIN($F$21,$B$7)-MAX($E$21,$B$6))=1," day   "," days   "),""))</f>
        <v/>
      </c>
    </row>
    <row r="22">
      <c r="D22" t="n">
        <v>21</v>
      </c>
      <c r="E22" s="70">
        <f>$F$21</f>
        <v/>
      </c>
      <c r="F22" s="70">
        <f>IF($F$21=0,0,IF('Loan Statement'!$H$9="Calendar quarter-ends",EOMONTH($F$21,3),EDATE($F$21,3)))</f>
        <v/>
      </c>
      <c r="G22">
        <f>TRIM(IF(MAX(0,MIN($F$22,$B$3)-MAX($E$22,$B$2))&gt;0,TEXT($B$8,"0.00")&amp;"% for "&amp;MAX(0,MIN($F$22,$B$3)-MAX($E$22,$B$2))&amp;IF(MAX(0,MIN($F$22,$B$3)-MAX($E$22,$B$2))=1," day   "," days   "),"")&amp;IF(MAX(0,MIN($F$22,$B$5)-MAX($E$22,$B$4))&gt;0,TEXT($B$9,"0.00")&amp;"% for "&amp;MAX(0,MIN($F$22,$B$5)-MAX($E$22,$B$4))&amp;IF(MAX(0,MIN($F$22,$B$5)-MAX($E$22,$B$4))=1," day   "," days   "),"")&amp;IF(MAX(0,MIN($F$22,$B$7)-MAX($E$22,$B$6))&gt;0,TEXT($B$10,"0.00")&amp;"% for "&amp;MAX(0,MIN($F$22,$B$7)-MAX($E$22,$B$6))&amp;IF(MAX(0,MIN($F$22,$B$7)-MAX($E$22,$B$6))=1," day   "," days   "),""))</f>
        <v/>
      </c>
    </row>
    <row r="23">
      <c r="D23" t="n">
        <v>22</v>
      </c>
      <c r="E23" s="70">
        <f>$F$22</f>
        <v/>
      </c>
      <c r="F23" s="70">
        <f>IF($F$22=0,0,IF('Loan Statement'!$H$9="Calendar quarter-ends",EOMONTH($F$22,3),EDATE($F$22,3)))</f>
        <v/>
      </c>
      <c r="G23">
        <f>TRIM(IF(MAX(0,MIN($F$23,$B$3)-MAX($E$23,$B$2))&gt;0,TEXT($B$8,"0.00")&amp;"% for "&amp;MAX(0,MIN($F$23,$B$3)-MAX($E$23,$B$2))&amp;IF(MAX(0,MIN($F$23,$B$3)-MAX($E$23,$B$2))=1," day   "," days   "),"")&amp;IF(MAX(0,MIN($F$23,$B$5)-MAX($E$23,$B$4))&gt;0,TEXT($B$9,"0.00")&amp;"% for "&amp;MAX(0,MIN($F$23,$B$5)-MAX($E$23,$B$4))&amp;IF(MAX(0,MIN($F$23,$B$5)-MAX($E$23,$B$4))=1," day   "," days   "),"")&amp;IF(MAX(0,MIN($F$23,$B$7)-MAX($E$23,$B$6))&gt;0,TEXT($B$10,"0.00")&amp;"% for "&amp;MAX(0,MIN($F$23,$B$7)-MAX($E$23,$B$6))&amp;IF(MAX(0,MIN($F$23,$B$7)-MAX($E$23,$B$6))=1," day   "," days   "),""))</f>
        <v/>
      </c>
    </row>
    <row r="24">
      <c r="D24" t="n">
        <v>23</v>
      </c>
      <c r="E24" s="70">
        <f>$F$23</f>
        <v/>
      </c>
      <c r="F24" s="70">
        <f>IF($F$23=0,0,IF('Loan Statement'!$H$9="Calendar quarter-ends",EOMONTH($F$23,3),EDATE($F$23,3)))</f>
        <v/>
      </c>
      <c r="G24">
        <f>TRIM(IF(MAX(0,MIN($F$24,$B$3)-MAX($E$24,$B$2))&gt;0,TEXT($B$8,"0.00")&amp;"% for "&amp;MAX(0,MIN($F$24,$B$3)-MAX($E$24,$B$2))&amp;IF(MAX(0,MIN($F$24,$B$3)-MAX($E$24,$B$2))=1," day   "," days   "),"")&amp;IF(MAX(0,MIN($F$24,$B$5)-MAX($E$24,$B$4))&gt;0,TEXT($B$9,"0.00")&amp;"% for "&amp;MAX(0,MIN($F$24,$B$5)-MAX($E$24,$B$4))&amp;IF(MAX(0,MIN($F$24,$B$5)-MAX($E$24,$B$4))=1," day   "," days   "),"")&amp;IF(MAX(0,MIN($F$24,$B$7)-MAX($E$24,$B$6))&gt;0,TEXT($B$10,"0.00")&amp;"% for "&amp;MAX(0,MIN($F$24,$B$7)-MAX($E$24,$B$6))&amp;IF(MAX(0,MIN($F$24,$B$7)-MAX($E$24,$B$6))=1," day   "," days   "),""))</f>
        <v/>
      </c>
    </row>
    <row r="25">
      <c r="D25" t="n">
        <v>24</v>
      </c>
      <c r="E25" s="70">
        <f>$F$24</f>
        <v/>
      </c>
      <c r="F25" s="70">
        <f>IF($F$24=0,0,IF('Loan Statement'!$H$9="Calendar quarter-ends",EOMONTH($F$24,3),EDATE($F$24,3)))</f>
        <v/>
      </c>
      <c r="G25">
        <f>TRIM(IF(MAX(0,MIN($F$25,$B$3)-MAX($E$25,$B$2))&gt;0,TEXT($B$8,"0.00")&amp;"% for "&amp;MAX(0,MIN($F$25,$B$3)-MAX($E$25,$B$2))&amp;IF(MAX(0,MIN($F$25,$B$3)-MAX($E$25,$B$2))=1," day   "," days   "),"")&amp;IF(MAX(0,MIN($F$25,$B$5)-MAX($E$25,$B$4))&gt;0,TEXT($B$9,"0.00")&amp;"% for "&amp;MAX(0,MIN($F$25,$B$5)-MAX($E$25,$B$4))&amp;IF(MAX(0,MIN($F$25,$B$5)-MAX($E$25,$B$4))=1," day   "," days   "),"")&amp;IF(MAX(0,MIN($F$25,$B$7)-MAX($E$25,$B$6))&gt;0,TEXT($B$10,"0.00")&amp;"% for "&amp;MAX(0,MIN($F$25,$B$7)-MAX($E$25,$B$6))&amp;IF(MAX(0,MIN($F$25,$B$7)-MAX($E$25,$B$6))=1," day   "," days   "),""))</f>
        <v/>
      </c>
    </row>
  </sheetData>
  <sheetProtection selectLockedCells="0" selectUnlockedCells="0" sheet="1" objects="0" insertRows="1" insertHyperlinks="1" autoFilter="1" scenarios="0" formatColumns="1" deleteColumns="1" insertColumns="1" pivotTables="1" deleteRows="1" formatCells="1" formatRows="1" sort="1" password="F5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2026-09-18T18:37:49Z</dcterms:created>
  <dcterms:modified xsi:type="dcterms:W3CDTF">2026-09-18T18:37:49Z</dcterms:modified>
</cp:coreProperties>
</file>